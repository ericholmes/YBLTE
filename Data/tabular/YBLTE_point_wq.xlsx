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ristinn\Documents\"/>
    </mc:Choice>
  </mc:AlternateContent>
  <xr:revisionPtr revIDLastSave="0" documentId="13_ncr:11_{DF4F414E-7754-416B-A942-8B6CCBBB419D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6" i="1" l="1"/>
  <c r="U147" i="1"/>
  <c r="U148" i="1"/>
  <c r="U149" i="1"/>
  <c r="U150" i="1"/>
  <c r="U151" i="1"/>
  <c r="U152" i="1"/>
  <c r="U153" i="1"/>
  <c r="U155" i="1"/>
  <c r="U145" i="1"/>
  <c r="U131" i="1"/>
  <c r="U132" i="1"/>
  <c r="U133" i="1"/>
  <c r="U134" i="1"/>
  <c r="U135" i="1"/>
  <c r="U136" i="1"/>
  <c r="U137" i="1"/>
  <c r="U138" i="1"/>
  <c r="U139" i="1"/>
  <c r="U143" i="1"/>
  <c r="U129" i="1"/>
  <c r="U130" i="1"/>
  <c r="U126" i="1"/>
  <c r="U125" i="1"/>
  <c r="U124" i="1"/>
  <c r="U123" i="1"/>
  <c r="U122" i="1"/>
  <c r="U121" i="1"/>
  <c r="U120" i="1"/>
  <c r="U119" i="1"/>
  <c r="U118" i="1"/>
  <c r="U117" i="1"/>
  <c r="U103" i="1"/>
  <c r="U104" i="1"/>
  <c r="U105" i="1"/>
  <c r="U106" i="1"/>
  <c r="U108" i="1"/>
  <c r="U109" i="1"/>
  <c r="U110" i="1"/>
  <c r="U111" i="1"/>
  <c r="U112" i="1"/>
  <c r="U113" i="1"/>
  <c r="U115" i="1"/>
  <c r="U116" i="1"/>
  <c r="U90" i="1"/>
  <c r="U91" i="1"/>
  <c r="U92" i="1"/>
  <c r="U93" i="1"/>
  <c r="U95" i="1"/>
  <c r="U96" i="1"/>
  <c r="U98" i="1"/>
  <c r="U99" i="1"/>
  <c r="U100" i="1"/>
  <c r="U101" i="1"/>
  <c r="U89" i="1"/>
  <c r="U85" i="1"/>
  <c r="U86" i="1"/>
  <c r="U87" i="1"/>
  <c r="U76" i="1"/>
  <c r="U77" i="1"/>
  <c r="U78" i="1"/>
  <c r="U79" i="1"/>
  <c r="U80" i="1"/>
  <c r="U81" i="1"/>
  <c r="U82" i="1"/>
  <c r="U83" i="1"/>
  <c r="U75" i="1"/>
  <c r="U63" i="1"/>
  <c r="U64" i="1"/>
  <c r="U65" i="1"/>
  <c r="U66" i="1"/>
  <c r="U67" i="1"/>
  <c r="U68" i="1"/>
  <c r="U69" i="1"/>
  <c r="U62" i="1"/>
  <c r="U52" i="1"/>
  <c r="U53" i="1"/>
  <c r="U54" i="1"/>
  <c r="U55" i="1"/>
  <c r="U56" i="1"/>
  <c r="U51" i="1"/>
  <c r="U42" i="1"/>
  <c r="U43" i="1"/>
  <c r="U44" i="1"/>
  <c r="U45" i="1"/>
  <c r="U46" i="1"/>
  <c r="U47" i="1"/>
  <c r="U38" i="1"/>
  <c r="U41" i="1"/>
  <c r="U37" i="1"/>
  <c r="U35" i="1"/>
  <c r="U36" i="1"/>
  <c r="U34" i="1"/>
  <c r="U27" i="1"/>
  <c r="U28" i="1"/>
  <c r="U29" i="1"/>
  <c r="U30" i="1"/>
  <c r="U31" i="1"/>
  <c r="U26" i="1"/>
  <c r="U19" i="1"/>
  <c r="U20" i="1"/>
  <c r="U21" i="1"/>
  <c r="U22" i="1"/>
  <c r="U23" i="1"/>
  <c r="U18" i="1"/>
  <c r="U11" i="1"/>
  <c r="U12" i="1"/>
  <c r="U13" i="1"/>
  <c r="U14" i="1"/>
  <c r="U15" i="1"/>
  <c r="U16" i="1"/>
  <c r="U6" i="1"/>
  <c r="U7" i="1"/>
  <c r="U8" i="1"/>
  <c r="U9" i="1"/>
  <c r="U5" i="1"/>
</calcChain>
</file>

<file path=xl/sharedStrings.xml><?xml version="1.0" encoding="utf-8"?>
<sst xmlns="http://schemas.openxmlformats.org/spreadsheetml/2006/main" count="401" uniqueCount="67">
  <si>
    <t>RowID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</si>
  <si>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</si>
  <si>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</si>
  <si>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</si>
  <si>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</si>
  <si>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</si>
  <si>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</si>
  <si>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</si>
  <si>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</si>
  <si>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</si>
  <si>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</si>
  <si>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</si>
  <si>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</si>
  <si>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</si>
  <si>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</si>
  <si>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</si>
  <si>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</si>
  <si>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</si>
  <si>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</si>
  <si>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</si>
  <si>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</si>
  <si>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</si>
  <si>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Comment</t>
  </si>
  <si>
    <t>I80</t>
  </si>
  <si>
    <t>NA</t>
  </si>
  <si>
    <t>Installed miniDOT SN: 340250, EC logger SN: 223698008</t>
  </si>
  <si>
    <t>AL1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</si>
  <si>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</si>
  <si>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</si>
  <si>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</si>
  <si>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</si>
  <si>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</si>
  <si>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</si>
  <si>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</si>
  <si>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</si>
  <si>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</si>
  <si>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</si>
  <si>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</si>
  <si>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</si>
  <si>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</si>
  <si>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</si>
  <si>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</si>
  <si>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KLWW</t>
  </si>
  <si>
    <t>SPC hard to read, check paper datasheet</t>
  </si>
  <si>
    <t>YBLR4</t>
  </si>
  <si>
    <t>CCSYB</t>
  </si>
  <si>
    <t>Ridgecut was flowing fast</t>
  </si>
  <si>
    <t>Small part of sample was lost, 0.1% or~ 50-60 zoops.</t>
  </si>
  <si>
    <t>Big Notch was closing while we sampled the upstream part of the intake channel</t>
  </si>
  <si>
    <t>Sampled in the excavated swales at the logger location</t>
  </si>
  <si>
    <t>Sampled in the EW fish ladder channel adjacent to the logger location</t>
  </si>
  <si>
    <t>Moved this sampling location up to the pedestrian bridge ramp due to hunters in southern Tule Pond. High insect counts, low zoop.</t>
  </si>
  <si>
    <t>Start number is wrong on datasheet, using last end number</t>
  </si>
  <si>
    <t>YBLPFB</t>
  </si>
  <si>
    <t>Can't tell if chl was 6.59 or 5.59</t>
  </si>
  <si>
    <t>End rot changed from 150988 to 154988</t>
  </si>
  <si>
    <t>SB4</t>
  </si>
  <si>
    <t>SSW</t>
  </si>
  <si>
    <t>Sample taken in Sac River by the Sac Weir since we observed water leaking through the boards into the Sac Bypass</t>
  </si>
  <si>
    <t>Salinity seems off. Maybe 0.21 instead?</t>
  </si>
  <si>
    <t>SBLPO</t>
  </si>
  <si>
    <t>CNW</t>
  </si>
  <si>
    <t>Phyto_sample</t>
  </si>
  <si>
    <t>Iso_sample</t>
  </si>
  <si>
    <t>Flow meter rotations suspect. Diving beetle escaped zoop sample</t>
  </si>
  <si>
    <t>Flow meter rotations suspect</t>
  </si>
  <si>
    <t>Missing cod end on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</si>
</sst>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8"/>
  <sheetViews>
    <sheetView tabSelected="1" workbookViewId="0">
      <pane ySplit="1" topLeftCell="A136" activePane="bottomLeft" state="frozen"/>
      <selection pane="bottomLeft" activeCell="H153" sqref="H153"/>
    </sheetView>
  </sheetViews>
  <sheetFormatPr defaultRowHeight="15" x14ac:dyDescent="0.25"/>
  <cols>
    <col min="3" max="3" width="10.42578125" bestFit="1" customWidth="1"/>
    <col min="23" max="24" width="10.570312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62</v>
      </c>
      <c r="X1" t="s">
        <v>63</v>
      </c>
      <c r="Y1" t="s">
        <v>22</v>
      </c>
    </row>
    <row r="2" spans="1:25" x14ac:dyDescent="0.25">
      <c r="A2">
        <v>1</v>
      </c>
      <c r="B2" t="s">
        <v>23</v>
      </c>
      <c r="C2" s="1">
        <v>45960</v>
      </c>
      <c r="D2" s="2">
        <v>0.34305555555555556</v>
      </c>
      <c r="E2">
        <v>16.074999999999999</v>
      </c>
      <c r="F2">
        <v>41.4</v>
      </c>
      <c r="G2">
        <v>4.07</v>
      </c>
      <c r="H2">
        <v>462.7</v>
      </c>
      <c r="I2">
        <v>300.73</v>
      </c>
      <c r="J2">
        <v>0.22</v>
      </c>
      <c r="K2">
        <v>7.43</v>
      </c>
      <c r="L2">
        <v>19.75</v>
      </c>
      <c r="M2">
        <v>0.21</v>
      </c>
      <c r="N2">
        <v>4.59</v>
      </c>
      <c r="O2">
        <v>56.46</v>
      </c>
      <c r="P2" t="s">
        <v>24</v>
      </c>
      <c r="Q2" t="s">
        <v>24</v>
      </c>
      <c r="R2" t="s">
        <v>24</v>
      </c>
      <c r="S2" t="s">
        <v>24</v>
      </c>
      <c r="T2" t="s">
        <v>24</v>
      </c>
      <c r="U2" t="s">
        <v>24</v>
      </c>
      <c r="V2" t="s">
        <v>24</v>
      </c>
      <c r="Y2" t="s">
        <v>25</v>
      </c>
    </row>
    <row r="3" spans="1:25" x14ac:dyDescent="0.25">
      <c r="A3">
        <v>2</v>
      </c>
      <c r="B3" t="s">
        <v>26</v>
      </c>
      <c r="C3" s="1">
        <v>45960</v>
      </c>
      <c r="D3" s="2">
        <v>0.35694444444444445</v>
      </c>
      <c r="E3">
        <v>15.721</v>
      </c>
      <c r="F3">
        <v>29.3</v>
      </c>
      <c r="G3">
        <v>2.9</v>
      </c>
      <c r="H3">
        <v>375.6</v>
      </c>
      <c r="I3">
        <v>244.17099999999999</v>
      </c>
      <c r="J3">
        <v>0.18</v>
      </c>
      <c r="K3">
        <v>7.31</v>
      </c>
      <c r="L3">
        <v>11</v>
      </c>
      <c r="M3">
        <v>0.12</v>
      </c>
      <c r="N3">
        <v>1.61</v>
      </c>
      <c r="O3">
        <v>36.880000000000003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24</v>
      </c>
    </row>
    <row r="4" spans="1:25" x14ac:dyDescent="0.25">
      <c r="A4">
        <v>3</v>
      </c>
      <c r="B4" t="s">
        <v>27</v>
      </c>
      <c r="C4" s="1">
        <v>45965</v>
      </c>
      <c r="D4" s="2">
        <v>0.35069444444444442</v>
      </c>
      <c r="E4">
        <v>14.768000000000001</v>
      </c>
      <c r="F4">
        <v>98.8</v>
      </c>
      <c r="G4">
        <v>10.050000000000001</v>
      </c>
      <c r="H4">
        <v>164.4</v>
      </c>
      <c r="I4">
        <v>106.73</v>
      </c>
      <c r="J4">
        <v>0.08</v>
      </c>
      <c r="K4">
        <v>7.92</v>
      </c>
      <c r="L4">
        <v>9.27</v>
      </c>
      <c r="M4">
        <v>0.08</v>
      </c>
      <c r="N4">
        <v>1.45</v>
      </c>
      <c r="O4" t="s">
        <v>24</v>
      </c>
      <c r="P4">
        <v>1</v>
      </c>
      <c r="Q4">
        <v>30</v>
      </c>
      <c r="R4">
        <v>4</v>
      </c>
      <c r="S4" t="s">
        <v>24</v>
      </c>
      <c r="T4" t="s">
        <v>24</v>
      </c>
      <c r="U4" t="s">
        <v>24</v>
      </c>
      <c r="V4">
        <v>1</v>
      </c>
      <c r="Y4" t="s">
        <v>28</v>
      </c>
    </row>
    <row r="5" spans="1:25" x14ac:dyDescent="0.25">
      <c r="A5">
        <v>4</v>
      </c>
      <c r="B5" t="s">
        <v>29</v>
      </c>
      <c r="C5" s="1">
        <v>45965</v>
      </c>
      <c r="D5" s="2">
        <v>0.37152777777777779</v>
      </c>
      <c r="E5">
        <v>16.594000000000001</v>
      </c>
      <c r="F5">
        <v>87.1</v>
      </c>
      <c r="G5">
        <v>8.44</v>
      </c>
      <c r="H5">
        <v>876</v>
      </c>
      <c r="I5">
        <v>569.12</v>
      </c>
      <c r="J5">
        <v>0.43</v>
      </c>
      <c r="K5">
        <v>8.5299999999999994</v>
      </c>
      <c r="L5">
        <v>23.11</v>
      </c>
      <c r="M5">
        <v>0.36</v>
      </c>
      <c r="N5">
        <v>9.6300000000000008</v>
      </c>
      <c r="O5" t="s">
        <v>24</v>
      </c>
      <c r="P5">
        <v>2</v>
      </c>
      <c r="Q5">
        <v>30</v>
      </c>
      <c r="R5">
        <v>4</v>
      </c>
      <c r="S5">
        <v>123478</v>
      </c>
      <c r="T5">
        <v>124135</v>
      </c>
      <c r="U5">
        <f>T5-S5</f>
        <v>657</v>
      </c>
      <c r="V5">
        <v>1</v>
      </c>
    </row>
    <row r="6" spans="1:25" x14ac:dyDescent="0.25">
      <c r="A6">
        <v>5</v>
      </c>
      <c r="B6" t="s">
        <v>30</v>
      </c>
      <c r="C6" s="1">
        <v>45965</v>
      </c>
      <c r="D6" s="2">
        <v>0.4</v>
      </c>
      <c r="E6">
        <v>16.388999999999999</v>
      </c>
      <c r="F6">
        <v>48.8</v>
      </c>
      <c r="G6">
        <v>4.75</v>
      </c>
      <c r="H6">
        <v>729</v>
      </c>
      <c r="I6">
        <v>473.60599999999999</v>
      </c>
      <c r="J6">
        <v>0.36</v>
      </c>
      <c r="K6">
        <v>7.55</v>
      </c>
      <c r="L6">
        <v>17.07</v>
      </c>
      <c r="M6">
        <v>0.43</v>
      </c>
      <c r="N6">
        <v>9.5299999999999994</v>
      </c>
      <c r="O6" t="s">
        <v>24</v>
      </c>
      <c r="P6">
        <v>3</v>
      </c>
      <c r="Q6">
        <v>30</v>
      </c>
      <c r="R6">
        <v>4</v>
      </c>
      <c r="S6">
        <v>124143</v>
      </c>
      <c r="T6">
        <v>124735</v>
      </c>
      <c r="U6">
        <f t="shared" ref="U6:U16" si="0">T6-S6</f>
        <v>592</v>
      </c>
      <c r="V6">
        <v>1</v>
      </c>
    </row>
    <row r="7" spans="1:25" x14ac:dyDescent="0.25">
      <c r="A7">
        <v>6</v>
      </c>
      <c r="B7" t="s">
        <v>31</v>
      </c>
      <c r="C7" s="1">
        <v>45965</v>
      </c>
      <c r="D7" s="2">
        <v>0.44305555555555554</v>
      </c>
      <c r="E7">
        <v>15.955</v>
      </c>
      <c r="F7">
        <v>33.299999999999997</v>
      </c>
      <c r="G7">
        <v>3.28</v>
      </c>
      <c r="H7">
        <v>399</v>
      </c>
      <c r="I7">
        <v>259.44</v>
      </c>
      <c r="J7">
        <v>0.19</v>
      </c>
      <c r="K7">
        <v>7.38</v>
      </c>
      <c r="L7">
        <v>15.06</v>
      </c>
      <c r="M7">
        <v>0.15</v>
      </c>
      <c r="N7">
        <v>1.65</v>
      </c>
      <c r="O7" t="s">
        <v>24</v>
      </c>
      <c r="P7">
        <v>2</v>
      </c>
      <c r="Q7">
        <v>30</v>
      </c>
      <c r="R7">
        <v>4</v>
      </c>
      <c r="S7">
        <v>125133</v>
      </c>
      <c r="T7">
        <v>125734</v>
      </c>
      <c r="U7">
        <f t="shared" si="0"/>
        <v>601</v>
      </c>
      <c r="V7">
        <v>1</v>
      </c>
    </row>
    <row r="8" spans="1:25" x14ac:dyDescent="0.25">
      <c r="A8">
        <v>7</v>
      </c>
      <c r="B8" t="s">
        <v>32</v>
      </c>
      <c r="C8" s="1">
        <v>45965</v>
      </c>
      <c r="D8" s="2">
        <v>0.46805555555555556</v>
      </c>
      <c r="E8">
        <v>17.25</v>
      </c>
      <c r="F8">
        <v>68.3</v>
      </c>
      <c r="G8">
        <v>6.54</v>
      </c>
      <c r="H8">
        <v>361</v>
      </c>
      <c r="I8">
        <v>234.42099999999999</v>
      </c>
      <c r="J8">
        <v>0.17</v>
      </c>
      <c r="K8">
        <v>7.52</v>
      </c>
      <c r="L8">
        <v>14.28</v>
      </c>
      <c r="M8">
        <v>0.26</v>
      </c>
      <c r="N8">
        <v>5.18</v>
      </c>
      <c r="O8" t="s">
        <v>24</v>
      </c>
      <c r="P8">
        <v>1</v>
      </c>
      <c r="Q8">
        <v>30</v>
      </c>
      <c r="R8">
        <v>4</v>
      </c>
      <c r="S8">
        <v>125733</v>
      </c>
      <c r="T8">
        <v>126414</v>
      </c>
      <c r="U8">
        <f t="shared" si="0"/>
        <v>681</v>
      </c>
      <c r="V8">
        <v>1</v>
      </c>
    </row>
    <row r="9" spans="1:25" x14ac:dyDescent="0.25">
      <c r="A9">
        <v>8</v>
      </c>
      <c r="B9" t="s">
        <v>33</v>
      </c>
      <c r="C9" s="1">
        <v>45965</v>
      </c>
      <c r="D9" s="2">
        <v>0.48749999999999999</v>
      </c>
      <c r="E9">
        <v>17.152999999999999</v>
      </c>
      <c r="F9">
        <v>83.5</v>
      </c>
      <c r="G9">
        <v>8.0299999999999994</v>
      </c>
      <c r="H9">
        <v>241</v>
      </c>
      <c r="I9">
        <v>156.822</v>
      </c>
      <c r="J9">
        <v>0.11</v>
      </c>
      <c r="K9">
        <v>7.75</v>
      </c>
      <c r="L9">
        <v>14.74</v>
      </c>
      <c r="M9">
        <v>0.17</v>
      </c>
      <c r="N9">
        <v>2.54</v>
      </c>
      <c r="O9" t="s">
        <v>24</v>
      </c>
      <c r="P9">
        <v>2</v>
      </c>
      <c r="Q9">
        <v>30</v>
      </c>
      <c r="R9">
        <v>4</v>
      </c>
      <c r="S9">
        <v>126409</v>
      </c>
      <c r="T9">
        <v>127066</v>
      </c>
      <c r="U9">
        <f t="shared" si="0"/>
        <v>657</v>
      </c>
      <c r="V9">
        <v>1</v>
      </c>
    </row>
    <row r="10" spans="1:25" x14ac:dyDescent="0.25">
      <c r="A10">
        <v>9</v>
      </c>
      <c r="B10" t="s">
        <v>34</v>
      </c>
      <c r="C10" s="1">
        <v>45965</v>
      </c>
      <c r="D10" s="2">
        <v>0.58958333333333335</v>
      </c>
      <c r="E10">
        <v>19.702999999999999</v>
      </c>
      <c r="F10">
        <v>64.099999999999994</v>
      </c>
      <c r="G10">
        <v>5.86</v>
      </c>
      <c r="H10">
        <v>433</v>
      </c>
      <c r="I10">
        <v>281.44900000000001</v>
      </c>
      <c r="J10">
        <v>0.21</v>
      </c>
      <c r="K10">
        <v>7.26</v>
      </c>
      <c r="L10">
        <v>21.1</v>
      </c>
      <c r="M10">
        <v>1.04</v>
      </c>
      <c r="N10">
        <v>29.23</v>
      </c>
      <c r="O10" t="s">
        <v>24</v>
      </c>
      <c r="P10">
        <v>4</v>
      </c>
      <c r="Q10">
        <v>15</v>
      </c>
      <c r="R10">
        <v>4</v>
      </c>
      <c r="S10" t="s">
        <v>24</v>
      </c>
      <c r="T10" t="s">
        <v>24</v>
      </c>
      <c r="U10" t="s">
        <v>24</v>
      </c>
      <c r="V10">
        <v>1</v>
      </c>
      <c r="Y10" t="s">
        <v>35</v>
      </c>
    </row>
    <row r="11" spans="1:25" x14ac:dyDescent="0.25">
      <c r="A11">
        <v>10</v>
      </c>
      <c r="B11" t="s">
        <v>27</v>
      </c>
      <c r="C11" s="1">
        <v>45974</v>
      </c>
      <c r="D11" s="2">
        <v>0.38194444444444442</v>
      </c>
      <c r="E11">
        <v>15.31</v>
      </c>
      <c r="F11">
        <v>91.9</v>
      </c>
      <c r="G11">
        <v>9.16</v>
      </c>
      <c r="H11">
        <v>203.4</v>
      </c>
      <c r="I11">
        <v>132.21899999999999</v>
      </c>
      <c r="J11">
        <v>0.1</v>
      </c>
      <c r="K11">
        <v>7.9</v>
      </c>
      <c r="L11">
        <v>9.4</v>
      </c>
      <c r="M11">
        <v>0.14000000000000001</v>
      </c>
      <c r="N11">
        <v>1.23</v>
      </c>
      <c r="O11">
        <v>28.31</v>
      </c>
      <c r="P11">
        <v>2</v>
      </c>
      <c r="Q11">
        <v>30</v>
      </c>
      <c r="R11">
        <v>4</v>
      </c>
      <c r="S11">
        <v>127050</v>
      </c>
      <c r="T11">
        <v>127650</v>
      </c>
      <c r="U11">
        <f t="shared" si="0"/>
        <v>600</v>
      </c>
      <c r="V11">
        <v>1</v>
      </c>
    </row>
    <row r="12" spans="1:25" x14ac:dyDescent="0.25">
      <c r="A12">
        <v>11</v>
      </c>
      <c r="B12" t="s">
        <v>29</v>
      </c>
      <c r="C12" s="1">
        <v>45974</v>
      </c>
      <c r="D12" s="2">
        <v>0.39583333333333331</v>
      </c>
      <c r="E12">
        <v>16.3</v>
      </c>
      <c r="F12">
        <v>83.3</v>
      </c>
      <c r="G12">
        <v>8.15</v>
      </c>
      <c r="H12">
        <v>815</v>
      </c>
      <c r="I12">
        <v>529.5</v>
      </c>
      <c r="J12">
        <v>0.4</v>
      </c>
      <c r="K12">
        <v>8.51</v>
      </c>
      <c r="L12">
        <v>28.08</v>
      </c>
      <c r="M12">
        <v>0.54</v>
      </c>
      <c r="N12">
        <v>4.6399999999999997</v>
      </c>
      <c r="O12">
        <v>23.57</v>
      </c>
      <c r="P12">
        <v>2</v>
      </c>
      <c r="Q12">
        <v>30</v>
      </c>
      <c r="R12">
        <v>4</v>
      </c>
      <c r="S12">
        <v>127657</v>
      </c>
      <c r="T12">
        <v>128290</v>
      </c>
      <c r="U12">
        <f t="shared" si="0"/>
        <v>633</v>
      </c>
      <c r="V12">
        <v>1</v>
      </c>
    </row>
    <row r="13" spans="1:25" x14ac:dyDescent="0.25">
      <c r="A13">
        <v>12</v>
      </c>
      <c r="B13" t="s">
        <v>30</v>
      </c>
      <c r="C13" s="1">
        <v>45974</v>
      </c>
      <c r="D13" s="2">
        <v>0.43055555555555558</v>
      </c>
      <c r="E13">
        <v>16.468</v>
      </c>
      <c r="F13">
        <v>42</v>
      </c>
      <c r="G13">
        <v>4.0999999999999996</v>
      </c>
      <c r="H13">
        <v>752</v>
      </c>
      <c r="I13">
        <v>488.92200000000003</v>
      </c>
      <c r="J13">
        <v>0.37</v>
      </c>
      <c r="K13">
        <v>7.49</v>
      </c>
      <c r="L13">
        <v>12.28</v>
      </c>
      <c r="M13">
        <v>0.32</v>
      </c>
      <c r="N13">
        <v>2.54</v>
      </c>
      <c r="O13">
        <v>90.76</v>
      </c>
      <c r="P13">
        <v>2</v>
      </c>
      <c r="Q13">
        <v>30</v>
      </c>
      <c r="R13">
        <v>4</v>
      </c>
      <c r="S13">
        <v>128290</v>
      </c>
      <c r="T13">
        <v>128947</v>
      </c>
      <c r="U13">
        <f t="shared" si="0"/>
        <v>657</v>
      </c>
      <c r="V13">
        <v>1</v>
      </c>
    </row>
    <row r="14" spans="1:25" x14ac:dyDescent="0.25">
      <c r="A14">
        <v>13</v>
      </c>
      <c r="B14" t="s">
        <v>31</v>
      </c>
      <c r="C14" s="1">
        <v>45974</v>
      </c>
      <c r="D14" s="2">
        <v>0.47569444444444442</v>
      </c>
      <c r="E14">
        <v>16.088999999999999</v>
      </c>
      <c r="F14">
        <v>40.1</v>
      </c>
      <c r="G14">
        <v>3.94</v>
      </c>
      <c r="H14">
        <v>584</v>
      </c>
      <c r="I14">
        <v>379.31</v>
      </c>
      <c r="J14">
        <v>0.28000000000000003</v>
      </c>
      <c r="K14">
        <v>7.49</v>
      </c>
      <c r="L14">
        <v>23.26</v>
      </c>
      <c r="M14">
        <v>0.28999999999999998</v>
      </c>
      <c r="N14">
        <v>3.25</v>
      </c>
      <c r="O14">
        <v>63.23</v>
      </c>
      <c r="P14">
        <v>1</v>
      </c>
      <c r="Q14">
        <v>30</v>
      </c>
      <c r="R14">
        <v>4</v>
      </c>
      <c r="S14">
        <v>128960</v>
      </c>
      <c r="T14">
        <v>129595</v>
      </c>
      <c r="U14">
        <f t="shared" si="0"/>
        <v>635</v>
      </c>
      <c r="V14">
        <v>1</v>
      </c>
    </row>
    <row r="15" spans="1:25" x14ac:dyDescent="0.25">
      <c r="A15">
        <v>14</v>
      </c>
      <c r="B15" t="s">
        <v>32</v>
      </c>
      <c r="C15" s="1">
        <v>45974</v>
      </c>
      <c r="D15" s="2">
        <v>0.49583333333333335</v>
      </c>
      <c r="E15">
        <v>14.803000000000001</v>
      </c>
      <c r="F15">
        <v>64</v>
      </c>
      <c r="G15">
        <v>6.47</v>
      </c>
      <c r="H15">
        <v>378</v>
      </c>
      <c r="I15">
        <v>245.70599999999999</v>
      </c>
      <c r="J15">
        <v>0.18</v>
      </c>
      <c r="K15">
        <v>7.66</v>
      </c>
      <c r="L15">
        <v>9.6300000000000008</v>
      </c>
      <c r="M15">
        <v>0.15</v>
      </c>
      <c r="N15">
        <v>0.76</v>
      </c>
      <c r="O15">
        <v>32.549999999999997</v>
      </c>
      <c r="P15">
        <v>1</v>
      </c>
      <c r="Q15">
        <v>30</v>
      </c>
      <c r="R15">
        <v>4</v>
      </c>
      <c r="S15">
        <v>129595</v>
      </c>
      <c r="T15">
        <v>130230</v>
      </c>
      <c r="U15">
        <f t="shared" si="0"/>
        <v>635</v>
      </c>
      <c r="V15">
        <v>1</v>
      </c>
    </row>
    <row r="16" spans="1:25" x14ac:dyDescent="0.25">
      <c r="A16">
        <v>15</v>
      </c>
      <c r="B16" t="s">
        <v>33</v>
      </c>
      <c r="C16" s="1">
        <v>45974</v>
      </c>
      <c r="D16" s="2">
        <v>0.51944444444444449</v>
      </c>
      <c r="E16">
        <v>16.452000000000002</v>
      </c>
      <c r="F16">
        <v>78.099999999999994</v>
      </c>
      <c r="G16">
        <v>7.63</v>
      </c>
      <c r="H16">
        <v>266.39999999999998</v>
      </c>
      <c r="I16">
        <v>173.15799999999999</v>
      </c>
      <c r="J16">
        <v>0.13</v>
      </c>
      <c r="K16">
        <v>7.75</v>
      </c>
      <c r="L16">
        <v>5.01</v>
      </c>
      <c r="M16">
        <v>0.18</v>
      </c>
      <c r="N16">
        <v>1.46</v>
      </c>
      <c r="O16">
        <v>37.19</v>
      </c>
      <c r="P16">
        <v>2</v>
      </c>
      <c r="Q16">
        <v>30</v>
      </c>
      <c r="R16">
        <v>4</v>
      </c>
      <c r="S16">
        <v>130230</v>
      </c>
      <c r="T16">
        <v>130808</v>
      </c>
      <c r="U16">
        <f t="shared" si="0"/>
        <v>578</v>
      </c>
      <c r="V16">
        <v>1</v>
      </c>
    </row>
    <row r="17" spans="1:25" x14ac:dyDescent="0.25">
      <c r="A17">
        <v>16</v>
      </c>
      <c r="B17" t="s">
        <v>34</v>
      </c>
      <c r="C17" s="1">
        <v>45974</v>
      </c>
      <c r="D17" s="2">
        <v>0.56388888888888888</v>
      </c>
      <c r="E17">
        <v>15.67</v>
      </c>
      <c r="F17">
        <v>41</v>
      </c>
      <c r="G17">
        <v>4.08</v>
      </c>
      <c r="H17">
        <v>370.8</v>
      </c>
      <c r="I17">
        <v>241.00200000000001</v>
      </c>
      <c r="J17">
        <v>0.18</v>
      </c>
      <c r="K17">
        <v>7.3</v>
      </c>
      <c r="L17">
        <v>12.78</v>
      </c>
      <c r="M17">
        <v>0.8</v>
      </c>
      <c r="N17">
        <v>15.5</v>
      </c>
      <c r="O17">
        <v>89.46</v>
      </c>
      <c r="P17">
        <v>4</v>
      </c>
      <c r="Q17">
        <v>15</v>
      </c>
      <c r="R17">
        <v>4</v>
      </c>
      <c r="S17" t="s">
        <v>24</v>
      </c>
      <c r="T17" t="s">
        <v>24</v>
      </c>
      <c r="U17" t="s">
        <v>24</v>
      </c>
      <c r="V17">
        <v>1</v>
      </c>
    </row>
    <row r="18" spans="1:25" x14ac:dyDescent="0.25">
      <c r="A18">
        <v>17</v>
      </c>
      <c r="B18" t="s">
        <v>27</v>
      </c>
      <c r="C18" s="1">
        <v>45979</v>
      </c>
      <c r="D18" s="2">
        <v>0.37152777777777779</v>
      </c>
      <c r="E18">
        <v>14.329000000000001</v>
      </c>
      <c r="F18">
        <v>86.7</v>
      </c>
      <c r="G18">
        <v>8.8699999999999992</v>
      </c>
      <c r="H18">
        <v>214.8</v>
      </c>
      <c r="I18">
        <v>139.62</v>
      </c>
      <c r="J18">
        <v>0.1</v>
      </c>
      <c r="K18">
        <v>7.76</v>
      </c>
      <c r="L18">
        <v>18.34</v>
      </c>
      <c r="M18">
        <v>0.27</v>
      </c>
      <c r="N18">
        <v>2.48</v>
      </c>
      <c r="O18">
        <v>53.59</v>
      </c>
      <c r="P18">
        <v>2.5</v>
      </c>
      <c r="Q18">
        <v>30</v>
      </c>
      <c r="R18">
        <v>4</v>
      </c>
      <c r="S18">
        <v>131335</v>
      </c>
      <c r="T18">
        <v>131965</v>
      </c>
      <c r="U18">
        <f>T18-S18</f>
        <v>630</v>
      </c>
      <c r="V18">
        <v>1</v>
      </c>
    </row>
    <row r="19" spans="1:25" x14ac:dyDescent="0.25">
      <c r="A19">
        <v>18</v>
      </c>
      <c r="B19" t="s">
        <v>29</v>
      </c>
      <c r="C19" s="1">
        <v>45979</v>
      </c>
      <c r="D19" s="2">
        <v>0.39513888888888887</v>
      </c>
      <c r="E19">
        <v>13.379</v>
      </c>
      <c r="F19">
        <v>84.1</v>
      </c>
      <c r="G19">
        <v>8.76</v>
      </c>
      <c r="H19">
        <v>756</v>
      </c>
      <c r="I19">
        <v>491.5</v>
      </c>
      <c r="J19">
        <v>0.37</v>
      </c>
      <c r="K19">
        <v>8.5</v>
      </c>
      <c r="L19">
        <v>23.9</v>
      </c>
      <c r="M19">
        <v>0.51</v>
      </c>
      <c r="N19">
        <v>7.15</v>
      </c>
      <c r="O19">
        <v>23.58</v>
      </c>
      <c r="P19">
        <v>1.5</v>
      </c>
      <c r="Q19">
        <v>30</v>
      </c>
      <c r="R19">
        <v>4</v>
      </c>
      <c r="S19">
        <v>131970</v>
      </c>
      <c r="T19">
        <v>132612</v>
      </c>
      <c r="U19">
        <f t="shared" ref="U19:U23" si="1">T19-S19</f>
        <v>642</v>
      </c>
      <c r="V19">
        <v>1</v>
      </c>
    </row>
    <row r="20" spans="1:25" x14ac:dyDescent="0.25">
      <c r="A20">
        <v>19</v>
      </c>
      <c r="B20" t="s">
        <v>30</v>
      </c>
      <c r="C20" s="1">
        <v>45979</v>
      </c>
      <c r="D20" s="2">
        <v>0.42222222222222222</v>
      </c>
      <c r="E20">
        <v>14.987</v>
      </c>
      <c r="F20">
        <v>47.4</v>
      </c>
      <c r="G20">
        <v>4.78</v>
      </c>
      <c r="H20">
        <v>729</v>
      </c>
      <c r="I20">
        <v>473.577</v>
      </c>
      <c r="J20">
        <v>0.36</v>
      </c>
      <c r="K20">
        <v>7.6</v>
      </c>
      <c r="L20">
        <v>14.04</v>
      </c>
      <c r="M20">
        <v>0.42</v>
      </c>
      <c r="N20">
        <v>7.24</v>
      </c>
      <c r="O20">
        <v>79.14</v>
      </c>
      <c r="P20">
        <v>2</v>
      </c>
      <c r="Q20">
        <v>30</v>
      </c>
      <c r="R20">
        <v>4</v>
      </c>
      <c r="S20">
        <v>132608</v>
      </c>
      <c r="T20">
        <v>133238</v>
      </c>
      <c r="U20">
        <f t="shared" si="1"/>
        <v>630</v>
      </c>
      <c r="V20">
        <v>1</v>
      </c>
    </row>
    <row r="21" spans="1:25" x14ac:dyDescent="0.25">
      <c r="A21">
        <v>20</v>
      </c>
      <c r="B21" t="s">
        <v>31</v>
      </c>
      <c r="C21" s="1">
        <v>45979</v>
      </c>
      <c r="D21" s="2">
        <v>0.45763888888888887</v>
      </c>
      <c r="E21">
        <v>14.53</v>
      </c>
      <c r="F21">
        <v>51.8</v>
      </c>
      <c r="G21">
        <v>5.27</v>
      </c>
      <c r="H21">
        <v>492.4</v>
      </c>
      <c r="I21">
        <v>320.03300000000002</v>
      </c>
      <c r="J21">
        <v>0.24</v>
      </c>
      <c r="K21">
        <v>7.53</v>
      </c>
      <c r="L21">
        <v>28.51</v>
      </c>
      <c r="M21">
        <v>0.37</v>
      </c>
      <c r="N21">
        <v>3.8</v>
      </c>
      <c r="O21">
        <v>65.989999999999995</v>
      </c>
      <c r="P21">
        <v>2</v>
      </c>
      <c r="Q21">
        <v>30</v>
      </c>
      <c r="R21">
        <v>4</v>
      </c>
      <c r="S21">
        <v>133702</v>
      </c>
      <c r="T21">
        <v>134180</v>
      </c>
      <c r="U21">
        <f t="shared" si="1"/>
        <v>478</v>
      </c>
      <c r="V21">
        <v>1</v>
      </c>
    </row>
    <row r="22" spans="1:25" x14ac:dyDescent="0.25">
      <c r="A22">
        <v>21</v>
      </c>
      <c r="B22" t="s">
        <v>32</v>
      </c>
      <c r="C22" s="1">
        <v>45979</v>
      </c>
      <c r="D22" s="2">
        <v>0.48125000000000001</v>
      </c>
      <c r="E22">
        <v>14.613</v>
      </c>
      <c r="F22">
        <v>52.4</v>
      </c>
      <c r="G22">
        <v>5.32</v>
      </c>
      <c r="H22">
        <v>457.6</v>
      </c>
      <c r="I22">
        <v>297.43</v>
      </c>
      <c r="J22">
        <v>0.22</v>
      </c>
      <c r="K22">
        <v>7.49</v>
      </c>
      <c r="L22">
        <v>8.65</v>
      </c>
      <c r="M22">
        <v>0.23</v>
      </c>
      <c r="N22">
        <v>2.2000000000000002</v>
      </c>
      <c r="O22">
        <v>59.21</v>
      </c>
      <c r="P22">
        <v>1</v>
      </c>
      <c r="Q22">
        <v>30</v>
      </c>
      <c r="R22">
        <v>4</v>
      </c>
      <c r="S22">
        <v>134183</v>
      </c>
      <c r="T22">
        <v>134694</v>
      </c>
      <c r="U22">
        <f t="shared" si="1"/>
        <v>511</v>
      </c>
      <c r="V22">
        <v>1</v>
      </c>
    </row>
    <row r="23" spans="1:25" x14ac:dyDescent="0.25">
      <c r="A23">
        <v>22</v>
      </c>
      <c r="B23" t="s">
        <v>33</v>
      </c>
      <c r="C23" s="1">
        <v>45979</v>
      </c>
      <c r="D23" s="2">
        <v>0.50694444444444442</v>
      </c>
      <c r="E23">
        <v>14.861000000000001</v>
      </c>
      <c r="F23">
        <v>75.8</v>
      </c>
      <c r="G23">
        <v>7.66</v>
      </c>
      <c r="H23">
        <v>444.2</v>
      </c>
      <c r="I23">
        <v>288.74299999999999</v>
      </c>
      <c r="J23">
        <v>0.21</v>
      </c>
      <c r="K23">
        <v>7.83</v>
      </c>
      <c r="L23">
        <v>6.27</v>
      </c>
      <c r="M23">
        <v>0.15</v>
      </c>
      <c r="N23">
        <v>0.91</v>
      </c>
      <c r="O23">
        <v>45.42</v>
      </c>
      <c r="P23">
        <v>1.5</v>
      </c>
      <c r="Q23">
        <v>30</v>
      </c>
      <c r="R23">
        <v>4</v>
      </c>
      <c r="S23">
        <v>134710</v>
      </c>
      <c r="T23">
        <v>135223</v>
      </c>
      <c r="U23">
        <f t="shared" si="1"/>
        <v>513</v>
      </c>
      <c r="V23">
        <v>1</v>
      </c>
    </row>
    <row r="24" spans="1:25" x14ac:dyDescent="0.25">
      <c r="A24">
        <v>23</v>
      </c>
      <c r="B24" t="s">
        <v>34</v>
      </c>
      <c r="C24" s="1">
        <v>45979</v>
      </c>
      <c r="D24" s="2">
        <v>0.5444444444444444</v>
      </c>
      <c r="E24">
        <v>15.439</v>
      </c>
      <c r="F24">
        <v>46.9</v>
      </c>
      <c r="G24">
        <v>4.67</v>
      </c>
      <c r="H24">
        <v>332.7</v>
      </c>
      <c r="I24">
        <v>216.279</v>
      </c>
      <c r="J24">
        <v>0.16</v>
      </c>
      <c r="K24">
        <v>7.26</v>
      </c>
      <c r="L24">
        <v>8.48</v>
      </c>
      <c r="M24">
        <v>0.39</v>
      </c>
      <c r="N24">
        <v>4.46</v>
      </c>
      <c r="O24">
        <v>85.37</v>
      </c>
      <c r="P24">
        <v>4</v>
      </c>
      <c r="Q24">
        <v>15</v>
      </c>
      <c r="R24">
        <v>4</v>
      </c>
      <c r="S24" t="s">
        <v>24</v>
      </c>
      <c r="T24" t="s">
        <v>24</v>
      </c>
      <c r="U24" t="s">
        <v>24</v>
      </c>
      <c r="V24">
        <v>1</v>
      </c>
    </row>
    <row r="25" spans="1:25" x14ac:dyDescent="0.25">
      <c r="A25">
        <v>24</v>
      </c>
      <c r="B25" t="s">
        <v>36</v>
      </c>
      <c r="C25" s="1">
        <v>45979</v>
      </c>
      <c r="D25" s="2">
        <v>0.59791666666666665</v>
      </c>
      <c r="E25">
        <v>16.07</v>
      </c>
      <c r="F25">
        <v>60</v>
      </c>
      <c r="G25">
        <v>5.91</v>
      </c>
      <c r="H25">
        <v>418.1</v>
      </c>
      <c r="I25">
        <v>271.774</v>
      </c>
      <c r="J25">
        <v>0.2</v>
      </c>
      <c r="K25">
        <v>7.57</v>
      </c>
      <c r="L25">
        <v>9.08</v>
      </c>
      <c r="M25">
        <v>0.15</v>
      </c>
      <c r="N25">
        <v>1.02</v>
      </c>
      <c r="O25">
        <v>41.26</v>
      </c>
      <c r="P25">
        <v>1</v>
      </c>
      <c r="Q25">
        <v>15</v>
      </c>
      <c r="R25">
        <v>4</v>
      </c>
      <c r="S25" t="s">
        <v>24</v>
      </c>
      <c r="T25" t="s">
        <v>24</v>
      </c>
      <c r="U25" t="s">
        <v>24</v>
      </c>
      <c r="V25">
        <v>1</v>
      </c>
      <c r="Y25" t="s">
        <v>37</v>
      </c>
    </row>
    <row r="26" spans="1:25" x14ac:dyDescent="0.25">
      <c r="A26">
        <v>25</v>
      </c>
      <c r="B26" t="s">
        <v>27</v>
      </c>
      <c r="C26" s="1">
        <v>45986</v>
      </c>
      <c r="D26" s="2">
        <v>0.38194444444444442</v>
      </c>
      <c r="E26">
        <v>12.569000000000001</v>
      </c>
      <c r="F26">
        <v>90.9</v>
      </c>
      <c r="G26">
        <v>9.67</v>
      </c>
      <c r="H26">
        <v>229.6</v>
      </c>
      <c r="I26">
        <v>149.256</v>
      </c>
      <c r="J26">
        <v>0.11</v>
      </c>
      <c r="K26">
        <v>7.74</v>
      </c>
      <c r="L26">
        <v>11.03</v>
      </c>
      <c r="M26">
        <v>0.16</v>
      </c>
      <c r="N26">
        <v>1.1200000000000001</v>
      </c>
      <c r="O26">
        <v>42.35</v>
      </c>
      <c r="P26">
        <v>2</v>
      </c>
      <c r="Q26">
        <v>30</v>
      </c>
      <c r="R26">
        <v>4</v>
      </c>
      <c r="S26">
        <v>135233</v>
      </c>
      <c r="T26">
        <v>135806</v>
      </c>
      <c r="U26">
        <f>T26-S26</f>
        <v>573</v>
      </c>
      <c r="V26">
        <v>1</v>
      </c>
    </row>
    <row r="27" spans="1:25" x14ac:dyDescent="0.25">
      <c r="A27">
        <v>26</v>
      </c>
      <c r="B27" t="s">
        <v>29</v>
      </c>
      <c r="C27" s="1">
        <v>45986</v>
      </c>
      <c r="D27" s="2">
        <v>0.39791666666666664</v>
      </c>
      <c r="E27">
        <v>12.324</v>
      </c>
      <c r="F27">
        <v>72</v>
      </c>
      <c r="G27">
        <v>7.69</v>
      </c>
      <c r="H27">
        <v>395.9</v>
      </c>
      <c r="I27">
        <v>257.32100000000003</v>
      </c>
      <c r="J27">
        <v>0.19</v>
      </c>
      <c r="K27">
        <v>7.92</v>
      </c>
      <c r="L27">
        <v>16.62</v>
      </c>
      <c r="M27">
        <v>0.94</v>
      </c>
      <c r="N27">
        <v>15.56</v>
      </c>
      <c r="O27">
        <v>41.52</v>
      </c>
      <c r="P27">
        <v>2</v>
      </c>
      <c r="Q27">
        <v>30</v>
      </c>
      <c r="R27">
        <v>4</v>
      </c>
      <c r="S27">
        <v>135805</v>
      </c>
      <c r="T27">
        <v>136470</v>
      </c>
      <c r="U27">
        <f t="shared" ref="U27:U31" si="2">T27-S27</f>
        <v>665</v>
      </c>
      <c r="V27">
        <v>1</v>
      </c>
    </row>
    <row r="28" spans="1:25" x14ac:dyDescent="0.25">
      <c r="A28">
        <v>27</v>
      </c>
      <c r="B28" t="s">
        <v>30</v>
      </c>
      <c r="C28" s="1">
        <v>45986</v>
      </c>
      <c r="D28" s="2">
        <v>0.42430555555555555</v>
      </c>
      <c r="E28">
        <v>12.606999999999999</v>
      </c>
      <c r="F28">
        <v>29.8</v>
      </c>
      <c r="G28">
        <v>3.16</v>
      </c>
      <c r="H28">
        <v>649</v>
      </c>
      <c r="I28">
        <v>421.54899999999998</v>
      </c>
      <c r="J28">
        <v>0.32</v>
      </c>
      <c r="K28">
        <v>7.33</v>
      </c>
      <c r="L28">
        <v>13.58</v>
      </c>
      <c r="M28">
        <v>0.33</v>
      </c>
      <c r="N28">
        <v>4.5199999999999996</v>
      </c>
      <c r="O28">
        <v>85.3</v>
      </c>
      <c r="P28">
        <v>3</v>
      </c>
      <c r="Q28">
        <v>30</v>
      </c>
      <c r="R28">
        <v>4</v>
      </c>
      <c r="S28">
        <v>136470</v>
      </c>
      <c r="T28">
        <v>137111</v>
      </c>
      <c r="U28">
        <f t="shared" si="2"/>
        <v>641</v>
      </c>
      <c r="V28">
        <v>1</v>
      </c>
    </row>
    <row r="29" spans="1:25" x14ac:dyDescent="0.25">
      <c r="A29">
        <v>28</v>
      </c>
      <c r="B29" t="s">
        <v>31</v>
      </c>
      <c r="C29" s="1">
        <v>45986</v>
      </c>
      <c r="D29" s="2">
        <v>0.46458333333333335</v>
      </c>
      <c r="E29">
        <v>12.315</v>
      </c>
      <c r="F29">
        <v>43.9</v>
      </c>
      <c r="G29">
        <v>4.6900000000000004</v>
      </c>
      <c r="H29">
        <v>501</v>
      </c>
      <c r="I29">
        <v>325.40600000000001</v>
      </c>
      <c r="J29">
        <v>0.24</v>
      </c>
      <c r="K29">
        <v>7.44</v>
      </c>
      <c r="L29">
        <v>23.24</v>
      </c>
      <c r="M29">
        <v>0.34</v>
      </c>
      <c r="N29">
        <v>3.06</v>
      </c>
      <c r="O29">
        <v>71.760000000000005</v>
      </c>
      <c r="P29">
        <v>2</v>
      </c>
      <c r="Q29">
        <v>30</v>
      </c>
      <c r="R29">
        <v>4</v>
      </c>
      <c r="S29">
        <v>137120</v>
      </c>
      <c r="T29">
        <v>137788</v>
      </c>
      <c r="U29">
        <f t="shared" si="2"/>
        <v>668</v>
      </c>
      <c r="V29">
        <v>1</v>
      </c>
    </row>
    <row r="30" spans="1:25" x14ac:dyDescent="0.25">
      <c r="A30">
        <v>29</v>
      </c>
      <c r="B30" t="s">
        <v>32</v>
      </c>
      <c r="C30" s="1">
        <v>45986</v>
      </c>
      <c r="D30" s="2">
        <v>0.48541666666666666</v>
      </c>
      <c r="E30">
        <v>12.385</v>
      </c>
      <c r="F30">
        <v>41.6</v>
      </c>
      <c r="G30">
        <v>4.4400000000000004</v>
      </c>
      <c r="H30">
        <v>446.5</v>
      </c>
      <c r="I30">
        <v>290.25299999999999</v>
      </c>
      <c r="J30">
        <v>0.22</v>
      </c>
      <c r="K30">
        <v>7.44</v>
      </c>
      <c r="L30">
        <v>7.96</v>
      </c>
      <c r="M30">
        <v>0.25</v>
      </c>
      <c r="N30">
        <v>1.46</v>
      </c>
      <c r="O30">
        <v>65.78</v>
      </c>
      <c r="P30">
        <v>1.5</v>
      </c>
      <c r="Q30">
        <v>30</v>
      </c>
      <c r="R30">
        <v>4</v>
      </c>
      <c r="S30">
        <v>137780</v>
      </c>
      <c r="T30">
        <v>138431</v>
      </c>
      <c r="U30">
        <f t="shared" si="2"/>
        <v>651</v>
      </c>
      <c r="V30">
        <v>1</v>
      </c>
    </row>
    <row r="31" spans="1:25" x14ac:dyDescent="0.25">
      <c r="A31">
        <v>30</v>
      </c>
      <c r="B31" t="s">
        <v>33</v>
      </c>
      <c r="C31" s="1">
        <v>45986</v>
      </c>
      <c r="D31" s="2">
        <v>0.50902777777777775</v>
      </c>
      <c r="E31">
        <v>12.911</v>
      </c>
      <c r="F31">
        <v>59.6</v>
      </c>
      <c r="G31">
        <v>6.29</v>
      </c>
      <c r="H31">
        <v>500</v>
      </c>
      <c r="I31">
        <v>324.99299999999999</v>
      </c>
      <c r="J31">
        <v>0.24</v>
      </c>
      <c r="K31">
        <v>7.6</v>
      </c>
      <c r="L31">
        <v>6.88</v>
      </c>
      <c r="M31">
        <v>0.25</v>
      </c>
      <c r="N31">
        <v>1.9</v>
      </c>
      <c r="O31">
        <v>62.92</v>
      </c>
      <c r="P31">
        <v>2.5</v>
      </c>
      <c r="Q31">
        <v>30</v>
      </c>
      <c r="R31">
        <v>4</v>
      </c>
      <c r="S31">
        <v>138430</v>
      </c>
      <c r="T31">
        <v>139084</v>
      </c>
      <c r="U31">
        <f t="shared" si="2"/>
        <v>654</v>
      </c>
      <c r="V31">
        <v>1</v>
      </c>
    </row>
    <row r="32" spans="1:25" x14ac:dyDescent="0.25">
      <c r="A32">
        <v>31</v>
      </c>
      <c r="B32" t="s">
        <v>34</v>
      </c>
      <c r="C32" s="1">
        <v>45986</v>
      </c>
      <c r="D32" s="2">
        <v>0.53888888888888886</v>
      </c>
      <c r="E32">
        <v>12.602</v>
      </c>
      <c r="F32">
        <v>23.2</v>
      </c>
      <c r="G32">
        <v>2.4700000000000002</v>
      </c>
      <c r="H32">
        <v>332.2</v>
      </c>
      <c r="I32">
        <v>215.93700000000001</v>
      </c>
      <c r="J32">
        <v>0.16</v>
      </c>
      <c r="K32">
        <v>7.07</v>
      </c>
      <c r="L32">
        <v>17.420000000000002</v>
      </c>
      <c r="M32">
        <v>0.43</v>
      </c>
      <c r="N32">
        <v>3.76</v>
      </c>
      <c r="O32">
        <v>78.66</v>
      </c>
      <c r="P32">
        <v>4</v>
      </c>
      <c r="Q32">
        <v>15</v>
      </c>
      <c r="R32">
        <v>4</v>
      </c>
      <c r="S32" t="s">
        <v>24</v>
      </c>
      <c r="T32" t="s">
        <v>24</v>
      </c>
      <c r="U32" t="s">
        <v>24</v>
      </c>
      <c r="V32">
        <v>1</v>
      </c>
    </row>
    <row r="33" spans="1:25" x14ac:dyDescent="0.25">
      <c r="A33">
        <v>32</v>
      </c>
      <c r="B33" t="s">
        <v>36</v>
      </c>
      <c r="C33" s="1">
        <v>45986</v>
      </c>
      <c r="D33" s="2">
        <v>0.57777777777777772</v>
      </c>
      <c r="E33">
        <v>12.82</v>
      </c>
      <c r="F33">
        <v>35.700000000000003</v>
      </c>
      <c r="G33">
        <v>3.77</v>
      </c>
      <c r="H33">
        <v>513</v>
      </c>
      <c r="I33">
        <v>333.17</v>
      </c>
      <c r="J33">
        <v>0.25</v>
      </c>
      <c r="K33">
        <v>7.4</v>
      </c>
      <c r="L33">
        <v>3.61</v>
      </c>
      <c r="M33">
        <v>0.28000000000000003</v>
      </c>
      <c r="N33">
        <v>6.68</v>
      </c>
      <c r="O33">
        <v>63.15</v>
      </c>
      <c r="P33">
        <v>3</v>
      </c>
      <c r="Q33">
        <v>15</v>
      </c>
      <c r="R33">
        <v>4</v>
      </c>
      <c r="S33" t="s">
        <v>24</v>
      </c>
      <c r="T33" t="s">
        <v>24</v>
      </c>
      <c r="U33" t="s">
        <v>24</v>
      </c>
      <c r="V33">
        <v>1</v>
      </c>
    </row>
    <row r="34" spans="1:25" x14ac:dyDescent="0.25">
      <c r="A34">
        <v>33</v>
      </c>
      <c r="B34" t="s">
        <v>27</v>
      </c>
      <c r="C34" s="1">
        <v>45993</v>
      </c>
      <c r="D34" s="2">
        <v>0.38472222222222224</v>
      </c>
      <c r="E34">
        <v>10.209</v>
      </c>
      <c r="F34">
        <v>92.5</v>
      </c>
      <c r="G34">
        <v>10.38</v>
      </c>
      <c r="H34">
        <v>239.7</v>
      </c>
      <c r="I34">
        <v>155.78800000000001</v>
      </c>
      <c r="J34">
        <v>0.11</v>
      </c>
      <c r="K34">
        <v>7.85</v>
      </c>
      <c r="L34">
        <v>10.42</v>
      </c>
      <c r="M34">
        <v>0.17</v>
      </c>
      <c r="N34">
        <v>1</v>
      </c>
      <c r="O34">
        <v>32.79</v>
      </c>
      <c r="P34">
        <v>2.5</v>
      </c>
      <c r="Q34">
        <v>30</v>
      </c>
      <c r="R34">
        <v>4</v>
      </c>
      <c r="S34">
        <v>139090</v>
      </c>
      <c r="T34">
        <v>139711</v>
      </c>
      <c r="U34">
        <f>T34-S34</f>
        <v>621</v>
      </c>
      <c r="V34">
        <v>1</v>
      </c>
    </row>
    <row r="35" spans="1:25" x14ac:dyDescent="0.25">
      <c r="A35">
        <v>34</v>
      </c>
      <c r="B35" t="s">
        <v>29</v>
      </c>
      <c r="C35" s="1">
        <v>45993</v>
      </c>
      <c r="D35" s="2">
        <v>0.40555555555555556</v>
      </c>
      <c r="E35">
        <v>9.3320000000000007</v>
      </c>
      <c r="F35">
        <v>85.2</v>
      </c>
      <c r="G35">
        <v>9.76</v>
      </c>
      <c r="H35">
        <v>393.1</v>
      </c>
      <c r="I35">
        <v>255.48599999999999</v>
      </c>
      <c r="J35">
        <v>0.19</v>
      </c>
      <c r="K35">
        <v>8.23</v>
      </c>
      <c r="L35">
        <v>17.12</v>
      </c>
      <c r="M35">
        <v>1.36</v>
      </c>
      <c r="N35">
        <v>20.36</v>
      </c>
      <c r="O35">
        <v>41.04</v>
      </c>
      <c r="P35">
        <v>1.5</v>
      </c>
      <c r="Q35">
        <v>30</v>
      </c>
      <c r="R35">
        <v>4</v>
      </c>
      <c r="S35">
        <v>139700</v>
      </c>
      <c r="T35">
        <v>140330</v>
      </c>
      <c r="U35">
        <f t="shared" ref="U35:U47" si="3">T35-S35</f>
        <v>630</v>
      </c>
      <c r="V35">
        <v>1</v>
      </c>
      <c r="Y35" t="s">
        <v>38</v>
      </c>
    </row>
    <row r="36" spans="1:25" x14ac:dyDescent="0.25">
      <c r="A36">
        <v>35</v>
      </c>
      <c r="B36" t="s">
        <v>30</v>
      </c>
      <c r="C36" s="1">
        <v>45993</v>
      </c>
      <c r="D36" s="2">
        <v>0.43333333333333335</v>
      </c>
      <c r="E36">
        <v>10.237</v>
      </c>
      <c r="F36">
        <v>34.9</v>
      </c>
      <c r="G36">
        <v>3.91</v>
      </c>
      <c r="H36">
        <v>625</v>
      </c>
      <c r="I36">
        <v>405.96199999999999</v>
      </c>
      <c r="J36">
        <v>0.31</v>
      </c>
      <c r="K36">
        <v>7.41</v>
      </c>
      <c r="L36">
        <v>11.46</v>
      </c>
      <c r="M36">
        <v>0.33</v>
      </c>
      <c r="N36">
        <v>2.84</v>
      </c>
      <c r="O36">
        <v>89.96</v>
      </c>
      <c r="P36">
        <v>3.5</v>
      </c>
      <c r="Q36">
        <v>30</v>
      </c>
      <c r="R36">
        <v>4</v>
      </c>
      <c r="S36">
        <v>140300</v>
      </c>
      <c r="T36">
        <v>140912</v>
      </c>
      <c r="U36">
        <f t="shared" si="3"/>
        <v>612</v>
      </c>
      <c r="V36">
        <v>1</v>
      </c>
      <c r="Y36" t="s">
        <v>39</v>
      </c>
    </row>
    <row r="37" spans="1:25" x14ac:dyDescent="0.25">
      <c r="A37">
        <v>36</v>
      </c>
      <c r="B37" t="s">
        <v>32</v>
      </c>
      <c r="C37" s="1">
        <v>45993</v>
      </c>
      <c r="D37" s="2">
        <v>0.37291666666666667</v>
      </c>
      <c r="E37">
        <v>9.8810000000000002</v>
      </c>
      <c r="F37">
        <v>58.7</v>
      </c>
      <c r="G37">
        <v>6.63</v>
      </c>
      <c r="H37">
        <v>470.2</v>
      </c>
      <c r="I37">
        <v>305.63</v>
      </c>
      <c r="J37">
        <v>0.23</v>
      </c>
      <c r="K37">
        <v>7.5</v>
      </c>
      <c r="L37">
        <v>7.04</v>
      </c>
      <c r="M37">
        <v>0.17</v>
      </c>
      <c r="N37">
        <v>1.96</v>
      </c>
      <c r="O37">
        <v>59.32</v>
      </c>
      <c r="P37">
        <v>2</v>
      </c>
      <c r="Q37">
        <v>30</v>
      </c>
      <c r="R37">
        <v>4</v>
      </c>
      <c r="S37">
        <v>750</v>
      </c>
      <c r="T37">
        <v>1382</v>
      </c>
      <c r="U37">
        <f>T37-S37</f>
        <v>632</v>
      </c>
      <c r="V37">
        <v>1</v>
      </c>
    </row>
    <row r="38" spans="1:25" x14ac:dyDescent="0.25">
      <c r="A38">
        <v>37</v>
      </c>
      <c r="B38" t="s">
        <v>33</v>
      </c>
      <c r="C38" s="1">
        <v>45993</v>
      </c>
      <c r="D38" s="2">
        <v>0.40625</v>
      </c>
      <c r="E38">
        <v>10.59</v>
      </c>
      <c r="F38">
        <v>61.2</v>
      </c>
      <c r="G38">
        <v>6.81</v>
      </c>
      <c r="H38">
        <v>532</v>
      </c>
      <c r="I38">
        <v>345.58800000000002</v>
      </c>
      <c r="J38">
        <v>0.26</v>
      </c>
      <c r="K38">
        <v>7.62</v>
      </c>
      <c r="L38">
        <v>6.38</v>
      </c>
      <c r="M38">
        <v>0.17</v>
      </c>
      <c r="N38">
        <v>2.33</v>
      </c>
      <c r="O38">
        <v>69.959999999999994</v>
      </c>
      <c r="P38">
        <v>1.5</v>
      </c>
      <c r="Q38">
        <v>30</v>
      </c>
      <c r="R38">
        <v>4</v>
      </c>
      <c r="S38">
        <v>1382</v>
      </c>
      <c r="T38">
        <v>2008</v>
      </c>
      <c r="U38">
        <f t="shared" si="3"/>
        <v>626</v>
      </c>
      <c r="V38">
        <v>1</v>
      </c>
    </row>
    <row r="39" spans="1:25" x14ac:dyDescent="0.25">
      <c r="A39">
        <v>38</v>
      </c>
      <c r="B39" t="s">
        <v>34</v>
      </c>
      <c r="C39" s="1">
        <v>45993</v>
      </c>
      <c r="D39" s="2">
        <v>0.44305555555555554</v>
      </c>
      <c r="E39">
        <v>8.407</v>
      </c>
      <c r="F39">
        <v>20.8</v>
      </c>
      <c r="G39">
        <v>2.4300000000000002</v>
      </c>
      <c r="H39">
        <v>322.10000000000002</v>
      </c>
      <c r="I39">
        <v>209.334</v>
      </c>
      <c r="J39">
        <v>0.15</v>
      </c>
      <c r="K39">
        <v>7.06</v>
      </c>
      <c r="L39">
        <v>12.42</v>
      </c>
      <c r="M39">
        <v>0.24</v>
      </c>
      <c r="N39">
        <v>2.75</v>
      </c>
      <c r="O39">
        <v>81.66</v>
      </c>
      <c r="P39">
        <v>5</v>
      </c>
      <c r="Q39">
        <v>15</v>
      </c>
      <c r="R39">
        <v>4</v>
      </c>
      <c r="S39" t="s">
        <v>24</v>
      </c>
      <c r="T39" t="s">
        <v>24</v>
      </c>
      <c r="U39" t="s">
        <v>24</v>
      </c>
      <c r="V39">
        <v>1</v>
      </c>
    </row>
    <row r="40" spans="1:25" x14ac:dyDescent="0.25">
      <c r="A40">
        <v>39</v>
      </c>
      <c r="B40" t="s">
        <v>36</v>
      </c>
      <c r="C40" s="1">
        <v>45993</v>
      </c>
      <c r="D40" s="2">
        <v>0.49305555555555558</v>
      </c>
      <c r="E40">
        <v>9.5220000000000002</v>
      </c>
      <c r="F40">
        <v>46.2</v>
      </c>
      <c r="G40">
        <v>5.27</v>
      </c>
      <c r="H40">
        <v>496.6</v>
      </c>
      <c r="I40">
        <v>322.81900000000002</v>
      </c>
      <c r="J40">
        <v>0.24</v>
      </c>
      <c r="K40">
        <v>7.45</v>
      </c>
      <c r="L40">
        <v>2.81</v>
      </c>
      <c r="M40">
        <v>0.15</v>
      </c>
      <c r="N40">
        <v>1.94</v>
      </c>
      <c r="O40">
        <v>60.88</v>
      </c>
      <c r="P40">
        <v>3</v>
      </c>
      <c r="Q40">
        <v>15</v>
      </c>
      <c r="R40">
        <v>4</v>
      </c>
      <c r="S40" t="s">
        <v>24</v>
      </c>
      <c r="T40" t="s">
        <v>24</v>
      </c>
      <c r="U40" t="s">
        <v>24</v>
      </c>
      <c r="V40">
        <v>1</v>
      </c>
    </row>
    <row r="41" spans="1:25" x14ac:dyDescent="0.25">
      <c r="A41">
        <v>40</v>
      </c>
      <c r="B41" t="s">
        <v>31</v>
      </c>
      <c r="C41" s="1">
        <v>45993</v>
      </c>
      <c r="D41" s="2">
        <v>0.54027777777777775</v>
      </c>
      <c r="E41">
        <v>10.919</v>
      </c>
      <c r="F41">
        <v>63.4</v>
      </c>
      <c r="G41">
        <v>6.99</v>
      </c>
      <c r="H41">
        <v>554</v>
      </c>
      <c r="I41">
        <v>359.92700000000002</v>
      </c>
      <c r="J41">
        <v>0.27</v>
      </c>
      <c r="K41">
        <v>7.53</v>
      </c>
      <c r="L41">
        <v>13.28</v>
      </c>
      <c r="M41">
        <v>0.21</v>
      </c>
      <c r="N41">
        <v>3.4</v>
      </c>
      <c r="O41">
        <v>73.7</v>
      </c>
      <c r="P41">
        <v>1</v>
      </c>
      <c r="Q41">
        <v>30</v>
      </c>
      <c r="R41">
        <v>4</v>
      </c>
      <c r="S41">
        <v>2008</v>
      </c>
      <c r="T41">
        <v>2523</v>
      </c>
      <c r="U41">
        <f t="shared" si="3"/>
        <v>515</v>
      </c>
      <c r="V41">
        <v>1</v>
      </c>
    </row>
    <row r="42" spans="1:25" x14ac:dyDescent="0.25">
      <c r="A42">
        <v>41</v>
      </c>
      <c r="B42" t="s">
        <v>27</v>
      </c>
      <c r="C42" s="1">
        <v>46000</v>
      </c>
      <c r="D42" s="2">
        <v>0.36319444444444443</v>
      </c>
      <c r="E42">
        <v>9.6850000000000005</v>
      </c>
      <c r="F42">
        <v>95.7</v>
      </c>
      <c r="G42">
        <v>10.87</v>
      </c>
      <c r="H42">
        <v>229.3</v>
      </c>
      <c r="I42">
        <v>149.07400000000001</v>
      </c>
      <c r="J42">
        <v>0.11</v>
      </c>
      <c r="K42">
        <v>7.93</v>
      </c>
      <c r="L42">
        <v>11.46</v>
      </c>
      <c r="M42">
        <v>0.17</v>
      </c>
      <c r="N42">
        <v>0.94</v>
      </c>
      <c r="O42">
        <v>27.87</v>
      </c>
      <c r="P42">
        <v>2</v>
      </c>
      <c r="Q42">
        <v>30</v>
      </c>
      <c r="R42">
        <v>4</v>
      </c>
      <c r="S42">
        <v>140925</v>
      </c>
      <c r="T42">
        <v>141496</v>
      </c>
      <c r="U42">
        <f t="shared" si="3"/>
        <v>571</v>
      </c>
      <c r="V42">
        <v>1</v>
      </c>
    </row>
    <row r="43" spans="1:25" x14ac:dyDescent="0.25">
      <c r="A43">
        <v>42</v>
      </c>
      <c r="B43" t="s">
        <v>29</v>
      </c>
      <c r="C43" s="1">
        <v>46000</v>
      </c>
      <c r="D43" s="2">
        <v>0.37847222222222221</v>
      </c>
      <c r="E43">
        <v>8.73</v>
      </c>
      <c r="F43">
        <v>82.9</v>
      </c>
      <c r="G43">
        <v>9.64</v>
      </c>
      <c r="H43">
        <v>396.5</v>
      </c>
      <c r="I43">
        <v>257.69400000000002</v>
      </c>
      <c r="J43">
        <v>0.19</v>
      </c>
      <c r="K43">
        <v>8.18</v>
      </c>
      <c r="L43">
        <v>17.690000000000001</v>
      </c>
      <c r="M43">
        <v>0.83</v>
      </c>
      <c r="N43">
        <v>19.489999999999998</v>
      </c>
      <c r="O43">
        <v>39.89</v>
      </c>
      <c r="P43">
        <v>1</v>
      </c>
      <c r="Q43">
        <v>30</v>
      </c>
      <c r="R43">
        <v>4</v>
      </c>
      <c r="S43">
        <v>141496</v>
      </c>
      <c r="T43">
        <v>142203</v>
      </c>
      <c r="U43">
        <f t="shared" si="3"/>
        <v>707</v>
      </c>
      <c r="V43">
        <v>1</v>
      </c>
    </row>
    <row r="44" spans="1:25" x14ac:dyDescent="0.25">
      <c r="A44">
        <v>43</v>
      </c>
      <c r="B44" t="s">
        <v>30</v>
      </c>
      <c r="C44" s="1">
        <v>46000</v>
      </c>
      <c r="D44" s="2">
        <v>0.40416666666666667</v>
      </c>
      <c r="E44">
        <v>9.4570000000000007</v>
      </c>
      <c r="F44">
        <v>60.5</v>
      </c>
      <c r="G44">
        <v>6.91</v>
      </c>
      <c r="H44">
        <v>607</v>
      </c>
      <c r="I44">
        <v>394.55200000000002</v>
      </c>
      <c r="J44">
        <v>0.3</v>
      </c>
      <c r="K44">
        <v>7.51</v>
      </c>
      <c r="L44">
        <v>20.81</v>
      </c>
      <c r="M44">
        <v>0.4</v>
      </c>
      <c r="N44">
        <v>2.35</v>
      </c>
      <c r="O44">
        <v>89.23</v>
      </c>
      <c r="P44">
        <v>2.5</v>
      </c>
      <c r="Q44">
        <v>30</v>
      </c>
      <c r="R44">
        <v>4</v>
      </c>
      <c r="S44">
        <v>142200</v>
      </c>
      <c r="T44">
        <v>142863</v>
      </c>
      <c r="U44">
        <f t="shared" si="3"/>
        <v>663</v>
      </c>
      <c r="V44">
        <v>1</v>
      </c>
      <c r="Y44" t="s">
        <v>40</v>
      </c>
    </row>
    <row r="45" spans="1:25" x14ac:dyDescent="0.25">
      <c r="A45">
        <v>44</v>
      </c>
      <c r="B45" t="s">
        <v>31</v>
      </c>
      <c r="C45" s="1">
        <v>46000</v>
      </c>
      <c r="D45" s="2">
        <v>0.47222222222222221</v>
      </c>
      <c r="E45">
        <v>9.0139999999999993</v>
      </c>
      <c r="F45">
        <v>57.6</v>
      </c>
      <c r="G45">
        <v>6.64</v>
      </c>
      <c r="H45">
        <v>516</v>
      </c>
      <c r="I45">
        <v>333.45400000000001</v>
      </c>
      <c r="J45">
        <v>0.25</v>
      </c>
      <c r="K45">
        <v>7.55</v>
      </c>
      <c r="L45">
        <v>19.149999999999999</v>
      </c>
      <c r="M45">
        <v>0.3</v>
      </c>
      <c r="N45">
        <v>2.71</v>
      </c>
      <c r="O45">
        <v>70.010000000000005</v>
      </c>
      <c r="P45">
        <v>3</v>
      </c>
      <c r="Q45">
        <v>30</v>
      </c>
      <c r="R45">
        <v>4</v>
      </c>
      <c r="S45">
        <v>142870</v>
      </c>
      <c r="T45">
        <v>143524</v>
      </c>
      <c r="U45">
        <f t="shared" si="3"/>
        <v>654</v>
      </c>
      <c r="V45">
        <v>1</v>
      </c>
    </row>
    <row r="46" spans="1:25" x14ac:dyDescent="0.25">
      <c r="A46">
        <v>45</v>
      </c>
      <c r="B46" t="s">
        <v>32</v>
      </c>
      <c r="C46" s="1">
        <v>46000</v>
      </c>
      <c r="D46" s="2">
        <v>0.49583333333333335</v>
      </c>
      <c r="E46">
        <v>8.98</v>
      </c>
      <c r="F46">
        <v>49.6</v>
      </c>
      <c r="G46">
        <v>5.73</v>
      </c>
      <c r="H46">
        <v>546</v>
      </c>
      <c r="I46">
        <v>354.95800000000003</v>
      </c>
      <c r="J46">
        <v>0.27</v>
      </c>
      <c r="K46">
        <v>7.5</v>
      </c>
      <c r="L46">
        <v>10.36</v>
      </c>
      <c r="M46">
        <v>0.26</v>
      </c>
      <c r="N46">
        <v>2.9</v>
      </c>
      <c r="O46">
        <v>68.040000000000006</v>
      </c>
      <c r="P46">
        <v>1.5</v>
      </c>
      <c r="Q46">
        <v>30</v>
      </c>
      <c r="R46">
        <v>4</v>
      </c>
      <c r="S46">
        <v>143524</v>
      </c>
      <c r="T46">
        <v>144205</v>
      </c>
      <c r="U46">
        <f t="shared" si="3"/>
        <v>681</v>
      </c>
      <c r="V46">
        <v>1</v>
      </c>
    </row>
    <row r="47" spans="1:25" x14ac:dyDescent="0.25">
      <c r="A47">
        <v>46</v>
      </c>
      <c r="B47" t="s">
        <v>33</v>
      </c>
      <c r="C47" s="1">
        <v>46000</v>
      </c>
      <c r="D47" s="2">
        <v>0.53680555555555554</v>
      </c>
      <c r="E47">
        <v>9.2309999999999999</v>
      </c>
      <c r="F47">
        <v>72.400000000000006</v>
      </c>
      <c r="G47">
        <v>8.31</v>
      </c>
      <c r="H47">
        <v>511</v>
      </c>
      <c r="I47">
        <v>332.30099999999999</v>
      </c>
      <c r="J47">
        <v>0.25</v>
      </c>
      <c r="K47">
        <v>7.76</v>
      </c>
      <c r="L47">
        <v>7.22</v>
      </c>
      <c r="M47">
        <v>0.22</v>
      </c>
      <c r="N47">
        <v>1.54</v>
      </c>
      <c r="O47">
        <v>59.91</v>
      </c>
      <c r="P47">
        <v>2</v>
      </c>
      <c r="Q47">
        <v>30</v>
      </c>
      <c r="R47">
        <v>4</v>
      </c>
      <c r="S47">
        <v>144211</v>
      </c>
      <c r="T47">
        <v>144764</v>
      </c>
      <c r="U47">
        <f t="shared" si="3"/>
        <v>553</v>
      </c>
      <c r="V47">
        <v>1</v>
      </c>
    </row>
    <row r="48" spans="1:25" x14ac:dyDescent="0.25">
      <c r="A48">
        <v>47</v>
      </c>
      <c r="B48" t="s">
        <v>41</v>
      </c>
      <c r="C48" s="1">
        <v>46000</v>
      </c>
      <c r="D48" s="2">
        <v>0.36458333333333331</v>
      </c>
      <c r="E48">
        <v>8.26</v>
      </c>
      <c r="F48">
        <v>48.8</v>
      </c>
      <c r="G48">
        <v>5.74</v>
      </c>
      <c r="H48">
        <v>536</v>
      </c>
      <c r="I48">
        <v>348.55599999999998</v>
      </c>
      <c r="J48">
        <v>0.26</v>
      </c>
      <c r="K48">
        <v>7.31</v>
      </c>
      <c r="L48">
        <v>25.91</v>
      </c>
      <c r="M48">
        <v>0.52</v>
      </c>
      <c r="N48">
        <v>7.31</v>
      </c>
      <c r="O48">
        <v>83.2</v>
      </c>
      <c r="P48">
        <v>2</v>
      </c>
      <c r="Q48">
        <v>15</v>
      </c>
      <c r="R48">
        <v>4</v>
      </c>
      <c r="S48" t="s">
        <v>24</v>
      </c>
      <c r="T48" t="s">
        <v>24</v>
      </c>
      <c r="U48" t="s">
        <v>24</v>
      </c>
      <c r="V48">
        <v>1</v>
      </c>
    </row>
    <row r="49" spans="1:25" x14ac:dyDescent="0.25">
      <c r="A49">
        <v>48</v>
      </c>
      <c r="B49" t="s">
        <v>34</v>
      </c>
      <c r="C49" s="1">
        <v>46000</v>
      </c>
      <c r="D49" s="2">
        <v>0.47499999999999998</v>
      </c>
      <c r="E49">
        <v>8.6240000000000006</v>
      </c>
      <c r="F49">
        <v>17.5</v>
      </c>
      <c r="G49">
        <v>2.04</v>
      </c>
      <c r="H49">
        <v>323</v>
      </c>
      <c r="I49">
        <v>209.93899999999999</v>
      </c>
      <c r="J49">
        <v>0.16</v>
      </c>
      <c r="K49">
        <v>7.05</v>
      </c>
      <c r="L49">
        <v>11.44</v>
      </c>
      <c r="M49">
        <v>0.27</v>
      </c>
      <c r="N49">
        <v>3.82</v>
      </c>
      <c r="O49">
        <v>84.64</v>
      </c>
      <c r="P49">
        <v>4.5</v>
      </c>
      <c r="Q49">
        <v>15</v>
      </c>
      <c r="R49">
        <v>4</v>
      </c>
      <c r="S49" t="s">
        <v>24</v>
      </c>
      <c r="T49" t="s">
        <v>24</v>
      </c>
      <c r="U49" t="s">
        <v>24</v>
      </c>
      <c r="V49">
        <v>1</v>
      </c>
    </row>
    <row r="50" spans="1:25" x14ac:dyDescent="0.25">
      <c r="A50">
        <v>49</v>
      </c>
      <c r="B50" t="s">
        <v>36</v>
      </c>
      <c r="C50" s="1">
        <v>46000</v>
      </c>
      <c r="D50" s="2">
        <v>0.51180555555555551</v>
      </c>
      <c r="E50">
        <v>8.5239999999999991</v>
      </c>
      <c r="F50">
        <v>48.2</v>
      </c>
      <c r="G50">
        <v>5.62</v>
      </c>
      <c r="H50">
        <v>507</v>
      </c>
      <c r="I50">
        <v>329.52100000000002</v>
      </c>
      <c r="J50">
        <v>0.25</v>
      </c>
      <c r="K50">
        <v>7.47</v>
      </c>
      <c r="L50">
        <v>3.28</v>
      </c>
      <c r="M50">
        <v>0.2</v>
      </c>
      <c r="N50">
        <v>2.2599999999999998</v>
      </c>
      <c r="O50">
        <v>61.36</v>
      </c>
      <c r="P50">
        <v>4</v>
      </c>
      <c r="Q50">
        <v>15</v>
      </c>
      <c r="R50">
        <v>4</v>
      </c>
      <c r="S50" t="s">
        <v>24</v>
      </c>
      <c r="T50" t="s">
        <v>24</v>
      </c>
      <c r="U50" t="s">
        <v>24</v>
      </c>
      <c r="V50">
        <v>1</v>
      </c>
    </row>
    <row r="51" spans="1:25" x14ac:dyDescent="0.25">
      <c r="A51">
        <v>50</v>
      </c>
      <c r="B51" t="s">
        <v>27</v>
      </c>
      <c r="C51" s="1">
        <v>46007</v>
      </c>
      <c r="D51" s="2">
        <v>0.35972222222222222</v>
      </c>
      <c r="E51">
        <v>9.266</v>
      </c>
      <c r="F51">
        <v>95.8</v>
      </c>
      <c r="G51">
        <v>11</v>
      </c>
      <c r="H51">
        <v>255.4</v>
      </c>
      <c r="I51">
        <v>166.005</v>
      </c>
      <c r="J51">
        <v>0.12</v>
      </c>
      <c r="K51">
        <v>7.91</v>
      </c>
      <c r="L51">
        <v>8.91</v>
      </c>
      <c r="M51">
        <v>0.19</v>
      </c>
      <c r="N51">
        <v>2.4</v>
      </c>
      <c r="O51">
        <v>30.84</v>
      </c>
      <c r="P51">
        <v>2</v>
      </c>
      <c r="Q51">
        <v>30</v>
      </c>
      <c r="R51">
        <v>4</v>
      </c>
      <c r="S51">
        <v>144784</v>
      </c>
      <c r="T51">
        <v>145338</v>
      </c>
      <c r="U51">
        <f>T51-S51</f>
        <v>554</v>
      </c>
      <c r="V51">
        <v>1</v>
      </c>
    </row>
    <row r="52" spans="1:25" x14ac:dyDescent="0.25">
      <c r="A52">
        <v>51</v>
      </c>
      <c r="B52" t="s">
        <v>29</v>
      </c>
      <c r="C52" s="1">
        <v>46007</v>
      </c>
      <c r="D52" s="2">
        <v>0.38611111111111113</v>
      </c>
      <c r="E52">
        <v>8.1790000000000003</v>
      </c>
      <c r="F52">
        <v>85.9</v>
      </c>
      <c r="G52">
        <v>10.11</v>
      </c>
      <c r="H52">
        <v>405.3</v>
      </c>
      <c r="I52">
        <v>263.46199999999999</v>
      </c>
      <c r="J52">
        <v>0.2</v>
      </c>
      <c r="K52">
        <v>8.26</v>
      </c>
      <c r="L52">
        <v>14.16</v>
      </c>
      <c r="M52">
        <v>0.78</v>
      </c>
      <c r="N52">
        <v>27.83</v>
      </c>
      <c r="O52">
        <v>39.68</v>
      </c>
      <c r="P52">
        <v>2.5</v>
      </c>
      <c r="Q52">
        <v>30</v>
      </c>
      <c r="R52">
        <v>4</v>
      </c>
      <c r="S52">
        <v>145346</v>
      </c>
      <c r="T52">
        <v>145958</v>
      </c>
      <c r="U52">
        <f t="shared" ref="U52:U56" si="4">T52-S52</f>
        <v>612</v>
      </c>
      <c r="V52">
        <v>1</v>
      </c>
    </row>
    <row r="53" spans="1:25" x14ac:dyDescent="0.25">
      <c r="A53">
        <v>52</v>
      </c>
      <c r="B53" t="s">
        <v>30</v>
      </c>
      <c r="C53" s="1">
        <v>46007</v>
      </c>
      <c r="D53" s="2">
        <v>0.40694444444444444</v>
      </c>
      <c r="E53">
        <v>8.8770000000000007</v>
      </c>
      <c r="F53">
        <v>57.5</v>
      </c>
      <c r="G53">
        <v>6.66</v>
      </c>
      <c r="H53">
        <v>574</v>
      </c>
      <c r="I53">
        <v>372.916</v>
      </c>
      <c r="J53">
        <v>0.28000000000000003</v>
      </c>
      <c r="K53">
        <v>7.52</v>
      </c>
      <c r="L53">
        <v>12.53</v>
      </c>
      <c r="M53">
        <v>0.24</v>
      </c>
      <c r="N53">
        <v>3.02</v>
      </c>
      <c r="O53">
        <v>80.61</v>
      </c>
      <c r="P53">
        <v>3.5</v>
      </c>
      <c r="Q53">
        <v>30</v>
      </c>
      <c r="R53">
        <v>4</v>
      </c>
      <c r="S53">
        <v>145955</v>
      </c>
      <c r="T53">
        <v>146521</v>
      </c>
      <c r="U53">
        <f t="shared" si="4"/>
        <v>566</v>
      </c>
      <c r="V53">
        <v>1</v>
      </c>
    </row>
    <row r="54" spans="1:25" x14ac:dyDescent="0.25">
      <c r="A54">
        <v>53</v>
      </c>
      <c r="B54" t="s">
        <v>31</v>
      </c>
      <c r="C54" s="1">
        <v>46007</v>
      </c>
      <c r="D54" s="2">
        <v>0.44166666666666665</v>
      </c>
      <c r="E54">
        <v>8.4570000000000007</v>
      </c>
      <c r="F54">
        <v>72.099999999999994</v>
      </c>
      <c r="G54">
        <v>8.41</v>
      </c>
      <c r="H54">
        <v>515</v>
      </c>
      <c r="I54">
        <v>341.53300000000002</v>
      </c>
      <c r="J54">
        <v>0.26</v>
      </c>
      <c r="K54">
        <v>7.64</v>
      </c>
      <c r="L54">
        <v>16.88</v>
      </c>
      <c r="M54">
        <v>0.27</v>
      </c>
      <c r="N54">
        <v>3.3</v>
      </c>
      <c r="O54">
        <v>69.45</v>
      </c>
      <c r="P54">
        <v>2.5</v>
      </c>
      <c r="Q54">
        <v>30</v>
      </c>
      <c r="R54">
        <v>4</v>
      </c>
      <c r="S54">
        <v>146500</v>
      </c>
      <c r="T54">
        <v>147023</v>
      </c>
      <c r="U54">
        <f t="shared" si="4"/>
        <v>523</v>
      </c>
      <c r="V54">
        <v>1</v>
      </c>
      <c r="Y54" t="s">
        <v>43</v>
      </c>
    </row>
    <row r="55" spans="1:25" x14ac:dyDescent="0.25">
      <c r="A55">
        <v>54</v>
      </c>
      <c r="B55" t="s">
        <v>32</v>
      </c>
      <c r="C55" s="1">
        <v>46007</v>
      </c>
      <c r="D55" s="2">
        <v>0.46041666666666664</v>
      </c>
      <c r="E55">
        <v>8.5869999999999997</v>
      </c>
      <c r="F55">
        <v>73.099999999999994</v>
      </c>
      <c r="G55">
        <v>8.4499999999999993</v>
      </c>
      <c r="H55">
        <v>503</v>
      </c>
      <c r="I55">
        <v>327.16199999999998</v>
      </c>
      <c r="J55">
        <v>0.24</v>
      </c>
      <c r="K55">
        <v>7.56</v>
      </c>
      <c r="L55">
        <v>12.3</v>
      </c>
      <c r="M55">
        <v>0.22</v>
      </c>
      <c r="N55">
        <v>2.38</v>
      </c>
      <c r="O55">
        <v>63.13</v>
      </c>
      <c r="P55">
        <v>2</v>
      </c>
      <c r="Q55">
        <v>30</v>
      </c>
      <c r="R55">
        <v>4</v>
      </c>
      <c r="S55">
        <v>147028</v>
      </c>
      <c r="T55">
        <v>147580</v>
      </c>
      <c r="U55">
        <f t="shared" si="4"/>
        <v>552</v>
      </c>
      <c r="V55">
        <v>1</v>
      </c>
    </row>
    <row r="56" spans="1:25" x14ac:dyDescent="0.25">
      <c r="A56">
        <v>55</v>
      </c>
      <c r="B56" t="s">
        <v>33</v>
      </c>
      <c r="C56" s="1">
        <v>46007</v>
      </c>
      <c r="D56" s="2">
        <v>0.4826388888888889</v>
      </c>
      <c r="E56">
        <v>8.7669999999999995</v>
      </c>
      <c r="F56">
        <v>70.900000000000006</v>
      </c>
      <c r="G56">
        <v>8.23</v>
      </c>
      <c r="H56">
        <v>608</v>
      </c>
      <c r="I56">
        <v>395.14800000000002</v>
      </c>
      <c r="J56">
        <v>0.3</v>
      </c>
      <c r="K56">
        <v>7.75</v>
      </c>
      <c r="L56">
        <v>9.43</v>
      </c>
      <c r="M56">
        <v>0.21</v>
      </c>
      <c r="N56">
        <v>2.04</v>
      </c>
      <c r="O56">
        <v>65.88</v>
      </c>
      <c r="P56">
        <v>2</v>
      </c>
      <c r="Q56">
        <v>30</v>
      </c>
      <c r="R56">
        <v>4</v>
      </c>
      <c r="S56">
        <v>147584</v>
      </c>
      <c r="T56">
        <v>148227</v>
      </c>
      <c r="U56">
        <f t="shared" si="4"/>
        <v>643</v>
      </c>
      <c r="V56">
        <v>1</v>
      </c>
    </row>
    <row r="57" spans="1:25" x14ac:dyDescent="0.25">
      <c r="A57">
        <v>56</v>
      </c>
      <c r="B57" t="s">
        <v>23</v>
      </c>
      <c r="C57" s="1">
        <v>46007</v>
      </c>
      <c r="D57" s="2">
        <v>0.52361111111111114</v>
      </c>
      <c r="E57">
        <v>8.577</v>
      </c>
      <c r="F57">
        <v>71.8</v>
      </c>
      <c r="G57">
        <v>8.36</v>
      </c>
      <c r="H57">
        <v>506</v>
      </c>
      <c r="I57">
        <v>329.20699999999999</v>
      </c>
      <c r="J57">
        <v>0.25</v>
      </c>
      <c r="K57">
        <v>7.65</v>
      </c>
      <c r="L57">
        <v>16.809999999999999</v>
      </c>
      <c r="M57">
        <v>0.5</v>
      </c>
      <c r="N57">
        <v>10.210000000000001</v>
      </c>
      <c r="O57">
        <v>66.81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24</v>
      </c>
    </row>
    <row r="58" spans="1:25" x14ac:dyDescent="0.25">
      <c r="A58">
        <v>57</v>
      </c>
      <c r="B58" t="s">
        <v>42</v>
      </c>
      <c r="C58" s="1">
        <v>46007</v>
      </c>
      <c r="D58" s="2">
        <v>0.37847222222222221</v>
      </c>
      <c r="E58">
        <v>8.7509999999999994</v>
      </c>
      <c r="F58">
        <v>49.6</v>
      </c>
      <c r="G58">
        <v>5.76</v>
      </c>
      <c r="H58">
        <v>500</v>
      </c>
      <c r="I58">
        <v>325.02699999999999</v>
      </c>
      <c r="J58">
        <v>0.24</v>
      </c>
      <c r="K58">
        <v>7.51</v>
      </c>
      <c r="L58">
        <v>11.75</v>
      </c>
      <c r="M58">
        <v>0.38</v>
      </c>
      <c r="N58">
        <v>4.54</v>
      </c>
      <c r="O58">
        <v>74.36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24</v>
      </c>
    </row>
    <row r="59" spans="1:25" x14ac:dyDescent="0.25">
      <c r="A59">
        <v>58</v>
      </c>
      <c r="B59" t="s">
        <v>41</v>
      </c>
      <c r="C59" s="1">
        <v>46007</v>
      </c>
      <c r="D59" s="2">
        <v>0.40347222222222223</v>
      </c>
      <c r="E59">
        <v>7.6470000000000002</v>
      </c>
      <c r="F59">
        <v>48.5</v>
      </c>
      <c r="G59">
        <v>5.78</v>
      </c>
      <c r="H59">
        <v>534</v>
      </c>
      <c r="I59">
        <v>346.92899999999997</v>
      </c>
      <c r="J59">
        <v>0.26</v>
      </c>
      <c r="K59">
        <v>7.44</v>
      </c>
      <c r="L59">
        <v>7.44</v>
      </c>
      <c r="M59">
        <v>1.1200000000000001</v>
      </c>
      <c r="N59">
        <v>13.67</v>
      </c>
      <c r="O59">
        <v>73.14</v>
      </c>
      <c r="P59">
        <v>2</v>
      </c>
      <c r="Q59">
        <v>15</v>
      </c>
      <c r="R59">
        <v>4</v>
      </c>
      <c r="S59" t="s">
        <v>24</v>
      </c>
      <c r="T59" t="s">
        <v>24</v>
      </c>
      <c r="U59" t="s">
        <v>24</v>
      </c>
      <c r="V59">
        <v>1</v>
      </c>
    </row>
    <row r="60" spans="1:25" x14ac:dyDescent="0.25">
      <c r="A60">
        <v>59</v>
      </c>
      <c r="B60" t="s">
        <v>34</v>
      </c>
      <c r="C60" s="1">
        <v>46007</v>
      </c>
      <c r="D60" s="2">
        <v>0.51597222222222228</v>
      </c>
      <c r="E60">
        <v>8.8140000000000001</v>
      </c>
      <c r="F60">
        <v>49.4</v>
      </c>
      <c r="G60">
        <v>5.73</v>
      </c>
      <c r="H60">
        <v>380.2</v>
      </c>
      <c r="I60">
        <v>247.154</v>
      </c>
      <c r="J60">
        <v>0.18</v>
      </c>
      <c r="K60">
        <v>7.18</v>
      </c>
      <c r="L60">
        <v>7.18</v>
      </c>
      <c r="M60">
        <v>0.26</v>
      </c>
      <c r="N60">
        <v>1.8</v>
      </c>
      <c r="O60">
        <v>90.53</v>
      </c>
      <c r="P60">
        <v>5</v>
      </c>
      <c r="Q60">
        <v>15</v>
      </c>
      <c r="R60">
        <v>4</v>
      </c>
      <c r="S60" t="s">
        <v>24</v>
      </c>
      <c r="T60" t="s">
        <v>24</v>
      </c>
      <c r="U60" t="s">
        <v>24</v>
      </c>
      <c r="V60">
        <v>1</v>
      </c>
    </row>
    <row r="61" spans="1:25" x14ac:dyDescent="0.25">
      <c r="A61">
        <v>60</v>
      </c>
      <c r="B61" t="s">
        <v>36</v>
      </c>
      <c r="C61" s="1">
        <v>46007</v>
      </c>
      <c r="D61" s="2">
        <v>0.56319444444444444</v>
      </c>
      <c r="E61">
        <v>9.0139999999999993</v>
      </c>
      <c r="F61">
        <v>57.1</v>
      </c>
      <c r="G61">
        <v>6.59</v>
      </c>
      <c r="H61">
        <v>557</v>
      </c>
      <c r="I61">
        <v>361.964</v>
      </c>
      <c r="J61">
        <v>0.27</v>
      </c>
      <c r="K61">
        <v>7.55</v>
      </c>
      <c r="L61">
        <v>7.55</v>
      </c>
      <c r="M61">
        <v>0.28999999999999998</v>
      </c>
      <c r="N61">
        <v>3.47</v>
      </c>
      <c r="O61">
        <v>62.2</v>
      </c>
      <c r="P61">
        <v>2.5</v>
      </c>
      <c r="Q61">
        <v>15</v>
      </c>
      <c r="R61">
        <v>4</v>
      </c>
      <c r="S61" t="s">
        <v>24</v>
      </c>
      <c r="T61" t="s">
        <v>24</v>
      </c>
      <c r="U61" t="s">
        <v>24</v>
      </c>
      <c r="V61">
        <v>1</v>
      </c>
    </row>
    <row r="62" spans="1:25" x14ac:dyDescent="0.25">
      <c r="A62">
        <v>61</v>
      </c>
      <c r="B62" t="s">
        <v>27</v>
      </c>
      <c r="C62" s="1">
        <v>46014</v>
      </c>
      <c r="D62" s="2">
        <v>0.36249999999999999</v>
      </c>
      <c r="E62">
        <v>12.694000000000001</v>
      </c>
      <c r="F62">
        <v>89.9</v>
      </c>
      <c r="G62">
        <v>9.5399999999999991</v>
      </c>
      <c r="H62">
        <v>139.69999999999999</v>
      </c>
      <c r="I62">
        <v>90.811999999999998</v>
      </c>
      <c r="J62">
        <v>7.0000000000000007E-2</v>
      </c>
      <c r="K62">
        <v>7.69</v>
      </c>
      <c r="L62">
        <v>69.12</v>
      </c>
      <c r="M62">
        <v>0.41</v>
      </c>
      <c r="N62">
        <v>1.87</v>
      </c>
      <c r="O62">
        <v>46.32</v>
      </c>
      <c r="P62">
        <v>1.5</v>
      </c>
      <c r="Q62">
        <v>30</v>
      </c>
      <c r="R62">
        <v>4</v>
      </c>
      <c r="S62">
        <v>148228</v>
      </c>
      <c r="T62">
        <v>148883</v>
      </c>
      <c r="U62">
        <f>T62-S62</f>
        <v>655</v>
      </c>
      <c r="V62">
        <v>1</v>
      </c>
      <c r="Y62" t="s">
        <v>48</v>
      </c>
    </row>
    <row r="63" spans="1:25" x14ac:dyDescent="0.25">
      <c r="A63">
        <v>62</v>
      </c>
      <c r="B63" t="s">
        <v>29</v>
      </c>
      <c r="C63" s="1">
        <v>46014</v>
      </c>
      <c r="D63" s="2">
        <v>0.38124999999999998</v>
      </c>
      <c r="E63">
        <v>12.673</v>
      </c>
      <c r="F63">
        <v>90.5</v>
      </c>
      <c r="G63">
        <v>9.6</v>
      </c>
      <c r="H63">
        <v>143.80000000000001</v>
      </c>
      <c r="I63">
        <v>93.474000000000004</v>
      </c>
      <c r="J63">
        <v>7.0000000000000007E-2</v>
      </c>
      <c r="K63">
        <v>7.69</v>
      </c>
      <c r="L63">
        <v>47.27</v>
      </c>
      <c r="M63">
        <v>0.36</v>
      </c>
      <c r="N63">
        <v>2.0499999999999998</v>
      </c>
      <c r="O63">
        <v>50.45</v>
      </c>
      <c r="P63">
        <v>1.5</v>
      </c>
      <c r="Q63">
        <v>30</v>
      </c>
      <c r="R63">
        <v>4</v>
      </c>
      <c r="S63">
        <v>148883</v>
      </c>
      <c r="T63">
        <v>149520</v>
      </c>
      <c r="U63">
        <f t="shared" ref="U63:U69" si="5">T63-S63</f>
        <v>637</v>
      </c>
      <c r="V63">
        <v>1</v>
      </c>
      <c r="Y63" t="s">
        <v>51</v>
      </c>
    </row>
    <row r="64" spans="1:25" x14ac:dyDescent="0.25">
      <c r="A64">
        <v>63</v>
      </c>
      <c r="B64" t="s">
        <v>30</v>
      </c>
      <c r="C64" s="1">
        <v>46014</v>
      </c>
      <c r="D64" s="2">
        <v>0.40555555555555556</v>
      </c>
      <c r="E64">
        <v>12.696</v>
      </c>
      <c r="F64">
        <v>67.2</v>
      </c>
      <c r="G64">
        <v>7.12</v>
      </c>
      <c r="H64">
        <v>358.3</v>
      </c>
      <c r="I64">
        <v>232.91300000000001</v>
      </c>
      <c r="J64">
        <v>0.17</v>
      </c>
      <c r="K64">
        <v>7.63</v>
      </c>
      <c r="L64">
        <v>41.96</v>
      </c>
      <c r="M64">
        <v>0.25</v>
      </c>
      <c r="N64">
        <v>2.17</v>
      </c>
      <c r="O64">
        <v>57.15</v>
      </c>
      <c r="P64">
        <v>3.5</v>
      </c>
      <c r="Q64">
        <v>30</v>
      </c>
      <c r="R64">
        <v>4</v>
      </c>
      <c r="S64">
        <v>149520</v>
      </c>
      <c r="T64">
        <v>150118</v>
      </c>
      <c r="U64">
        <f t="shared" si="5"/>
        <v>598</v>
      </c>
      <c r="V64">
        <v>1</v>
      </c>
    </row>
    <row r="65" spans="1:25" x14ac:dyDescent="0.25">
      <c r="A65">
        <v>64</v>
      </c>
      <c r="B65" t="s">
        <v>44</v>
      </c>
      <c r="C65" s="1">
        <v>46014</v>
      </c>
      <c r="D65" s="2">
        <v>0.42777777777777776</v>
      </c>
      <c r="E65">
        <v>12.114000000000001</v>
      </c>
      <c r="F65">
        <v>81.400000000000006</v>
      </c>
      <c r="G65">
        <v>8.74</v>
      </c>
      <c r="H65">
        <v>548</v>
      </c>
      <c r="I65">
        <v>356.22699999999998</v>
      </c>
      <c r="J65">
        <v>0.27</v>
      </c>
      <c r="K65">
        <v>8.0500000000000007</v>
      </c>
      <c r="L65">
        <v>16.3</v>
      </c>
      <c r="M65">
        <v>0.56999999999999995</v>
      </c>
      <c r="N65">
        <v>9.6300000000000008</v>
      </c>
      <c r="O65">
        <v>74.680000000000007</v>
      </c>
      <c r="P65">
        <v>2.5</v>
      </c>
      <c r="Q65">
        <v>30</v>
      </c>
      <c r="R65">
        <v>4</v>
      </c>
      <c r="S65">
        <v>150118</v>
      </c>
      <c r="T65">
        <v>150708</v>
      </c>
      <c r="U65">
        <f t="shared" si="5"/>
        <v>590</v>
      </c>
      <c r="V65">
        <v>1</v>
      </c>
      <c r="Y65" t="s">
        <v>49</v>
      </c>
    </row>
    <row r="66" spans="1:25" x14ac:dyDescent="0.25">
      <c r="A66">
        <v>65</v>
      </c>
      <c r="B66" t="s">
        <v>56</v>
      </c>
      <c r="C66" s="1">
        <v>46014</v>
      </c>
      <c r="D66" s="2">
        <v>0.45347222222222222</v>
      </c>
      <c r="E66">
        <v>13.319000000000001</v>
      </c>
      <c r="F66">
        <v>62.3</v>
      </c>
      <c r="G66">
        <v>6.51</v>
      </c>
      <c r="H66">
        <v>555</v>
      </c>
      <c r="I66">
        <v>360.91199999999998</v>
      </c>
      <c r="J66">
        <v>0.27</v>
      </c>
      <c r="K66">
        <v>7.73</v>
      </c>
      <c r="L66">
        <v>36.64</v>
      </c>
      <c r="M66">
        <v>0.68</v>
      </c>
      <c r="N66">
        <v>10.36</v>
      </c>
      <c r="O66">
        <v>61.07</v>
      </c>
      <c r="P66">
        <v>2.5</v>
      </c>
      <c r="Q66">
        <v>30</v>
      </c>
      <c r="R66">
        <v>4</v>
      </c>
      <c r="S66">
        <v>150708</v>
      </c>
      <c r="T66">
        <v>151323</v>
      </c>
      <c r="U66">
        <f t="shared" si="5"/>
        <v>615</v>
      </c>
      <c r="V66">
        <v>1</v>
      </c>
      <c r="Y66" t="s">
        <v>50</v>
      </c>
    </row>
    <row r="67" spans="1:25" x14ac:dyDescent="0.25">
      <c r="A67">
        <v>66</v>
      </c>
      <c r="B67" t="s">
        <v>31</v>
      </c>
      <c r="C67" s="1">
        <v>46014</v>
      </c>
      <c r="D67" s="2">
        <v>0.49652777777777779</v>
      </c>
      <c r="E67">
        <v>12.954000000000001</v>
      </c>
      <c r="F67">
        <v>61.1</v>
      </c>
      <c r="G67">
        <v>6.43</v>
      </c>
      <c r="H67">
        <v>488.5</v>
      </c>
      <c r="I67">
        <v>317.517</v>
      </c>
      <c r="J67">
        <v>0.24</v>
      </c>
      <c r="K67">
        <v>7.65</v>
      </c>
      <c r="L67">
        <v>40.28</v>
      </c>
      <c r="M67">
        <v>0.38</v>
      </c>
      <c r="N67">
        <v>3.63</v>
      </c>
      <c r="O67">
        <v>64.709999999999994</v>
      </c>
      <c r="P67">
        <v>3.5</v>
      </c>
      <c r="Q67">
        <v>30</v>
      </c>
      <c r="R67">
        <v>4</v>
      </c>
      <c r="S67">
        <v>151323</v>
      </c>
      <c r="T67">
        <v>151940</v>
      </c>
      <c r="U67">
        <f t="shared" si="5"/>
        <v>617</v>
      </c>
      <c r="V67">
        <v>1</v>
      </c>
    </row>
    <row r="68" spans="1:25" x14ac:dyDescent="0.25">
      <c r="A68">
        <v>67</v>
      </c>
      <c r="B68" t="s">
        <v>32</v>
      </c>
      <c r="C68" s="1">
        <v>46014</v>
      </c>
      <c r="D68" s="2">
        <v>0.51736111111111116</v>
      </c>
      <c r="E68">
        <v>13.105</v>
      </c>
      <c r="F68">
        <v>57.6</v>
      </c>
      <c r="G68">
        <v>6.04</v>
      </c>
      <c r="H68">
        <v>528</v>
      </c>
      <c r="I68">
        <v>343.149</v>
      </c>
      <c r="J68">
        <v>0.26</v>
      </c>
      <c r="K68">
        <v>7.61</v>
      </c>
      <c r="L68">
        <v>28.35</v>
      </c>
      <c r="M68">
        <v>0.33</v>
      </c>
      <c r="N68">
        <v>2.83</v>
      </c>
      <c r="O68">
        <v>66.8</v>
      </c>
      <c r="P68">
        <v>3</v>
      </c>
      <c r="Q68">
        <v>30</v>
      </c>
      <c r="R68">
        <v>4</v>
      </c>
      <c r="S68">
        <v>151940</v>
      </c>
      <c r="T68">
        <v>152457</v>
      </c>
      <c r="U68">
        <f t="shared" si="5"/>
        <v>517</v>
      </c>
      <c r="V68">
        <v>1</v>
      </c>
    </row>
    <row r="69" spans="1:25" x14ac:dyDescent="0.25">
      <c r="A69">
        <v>68</v>
      </c>
      <c r="B69" t="s">
        <v>33</v>
      </c>
      <c r="C69" s="1">
        <v>46014</v>
      </c>
      <c r="D69" s="2">
        <v>0.54166666666666663</v>
      </c>
      <c r="E69">
        <v>12.305999999999999</v>
      </c>
      <c r="F69">
        <v>66.2</v>
      </c>
      <c r="G69">
        <v>7.07</v>
      </c>
      <c r="H69">
        <v>541</v>
      </c>
      <c r="I69">
        <v>351.70400000000001</v>
      </c>
      <c r="J69">
        <v>0.26</v>
      </c>
      <c r="K69">
        <v>7.7</v>
      </c>
      <c r="L69">
        <v>14.79</v>
      </c>
      <c r="M69">
        <v>0.24</v>
      </c>
      <c r="N69">
        <v>1.73</v>
      </c>
      <c r="O69">
        <v>63.42</v>
      </c>
      <c r="P69">
        <v>2</v>
      </c>
      <c r="Q69">
        <v>30</v>
      </c>
      <c r="R69">
        <v>4</v>
      </c>
      <c r="S69">
        <v>152457</v>
      </c>
      <c r="T69">
        <v>153065</v>
      </c>
      <c r="U69">
        <f t="shared" si="5"/>
        <v>608</v>
      </c>
      <c r="V69">
        <v>1</v>
      </c>
      <c r="Y69" t="s">
        <v>52</v>
      </c>
    </row>
    <row r="70" spans="1:25" x14ac:dyDescent="0.25">
      <c r="A70">
        <v>69</v>
      </c>
      <c r="B70" t="s">
        <v>41</v>
      </c>
      <c r="C70" s="1">
        <v>46014</v>
      </c>
      <c r="D70" s="2">
        <v>0.37013888888888891</v>
      </c>
      <c r="E70">
        <v>12.683</v>
      </c>
      <c r="F70">
        <v>39</v>
      </c>
      <c r="G70">
        <v>4.13</v>
      </c>
      <c r="H70">
        <v>508</v>
      </c>
      <c r="I70">
        <v>329.863</v>
      </c>
      <c r="J70">
        <v>0.25</v>
      </c>
      <c r="K70">
        <v>7.54</v>
      </c>
      <c r="L70">
        <v>33.61</v>
      </c>
      <c r="M70">
        <v>0.5</v>
      </c>
      <c r="N70">
        <v>10.68</v>
      </c>
      <c r="O70">
        <v>71.849999999999994</v>
      </c>
      <c r="P70">
        <v>3.5</v>
      </c>
      <c r="Q70">
        <v>4</v>
      </c>
      <c r="R70" t="s">
        <v>24</v>
      </c>
      <c r="S70" t="s">
        <v>24</v>
      </c>
      <c r="T70" t="s">
        <v>24</v>
      </c>
      <c r="U70" t="s">
        <v>24</v>
      </c>
      <c r="V70">
        <v>1</v>
      </c>
    </row>
    <row r="71" spans="1:25" x14ac:dyDescent="0.25">
      <c r="A71">
        <v>70</v>
      </c>
      <c r="B71" t="s">
        <v>42</v>
      </c>
      <c r="C71" s="1">
        <v>46014</v>
      </c>
      <c r="D71" s="2">
        <v>0.40416666666666667</v>
      </c>
      <c r="E71">
        <v>12.368</v>
      </c>
      <c r="F71">
        <v>44.4</v>
      </c>
      <c r="G71">
        <v>4.74</v>
      </c>
      <c r="H71">
        <v>524</v>
      </c>
      <c r="I71">
        <v>340.56099999999998</v>
      </c>
      <c r="J71">
        <v>0.25</v>
      </c>
      <c r="K71">
        <v>7.55</v>
      </c>
      <c r="L71">
        <v>9</v>
      </c>
      <c r="M71">
        <v>0.3</v>
      </c>
      <c r="N71">
        <v>6.58</v>
      </c>
      <c r="O71">
        <v>78.05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Y71" t="s">
        <v>46</v>
      </c>
    </row>
    <row r="72" spans="1:25" x14ac:dyDescent="0.25">
      <c r="A72">
        <v>71</v>
      </c>
      <c r="B72" t="s">
        <v>36</v>
      </c>
      <c r="C72" s="1">
        <v>46014</v>
      </c>
      <c r="D72" s="2">
        <v>0.47152777777777777</v>
      </c>
      <c r="E72">
        <v>13.318</v>
      </c>
      <c r="F72">
        <v>38.4</v>
      </c>
      <c r="G72">
        <v>4</v>
      </c>
      <c r="H72">
        <v>520</v>
      </c>
      <c r="I72">
        <v>338.27800000000002</v>
      </c>
      <c r="J72">
        <v>0.25</v>
      </c>
      <c r="K72">
        <v>7.5</v>
      </c>
      <c r="L72">
        <v>6.24</v>
      </c>
      <c r="M72">
        <v>0.15</v>
      </c>
      <c r="N72">
        <v>2.61</v>
      </c>
      <c r="O72">
        <v>61.88</v>
      </c>
      <c r="P72">
        <v>4.5</v>
      </c>
      <c r="Q72">
        <v>4</v>
      </c>
      <c r="R72" t="s">
        <v>24</v>
      </c>
      <c r="S72" t="s">
        <v>24</v>
      </c>
      <c r="T72" t="s">
        <v>24</v>
      </c>
      <c r="U72" t="s">
        <v>24</v>
      </c>
      <c r="V72">
        <v>1</v>
      </c>
    </row>
    <row r="73" spans="1:25" x14ac:dyDescent="0.25">
      <c r="A73">
        <v>72</v>
      </c>
      <c r="B73" t="s">
        <v>34</v>
      </c>
      <c r="C73" s="1">
        <v>46014</v>
      </c>
      <c r="D73" s="2">
        <v>0.51944444444444449</v>
      </c>
      <c r="E73">
        <v>14.173999999999999</v>
      </c>
      <c r="F73">
        <v>59</v>
      </c>
      <c r="G73">
        <v>6.05</v>
      </c>
      <c r="H73">
        <v>383.7</v>
      </c>
      <c r="I73">
        <v>249.392</v>
      </c>
      <c r="J73">
        <v>0.19</v>
      </c>
      <c r="K73">
        <v>7.17</v>
      </c>
      <c r="L73">
        <v>5.04</v>
      </c>
      <c r="M73">
        <v>0.15</v>
      </c>
      <c r="N73">
        <v>2.85</v>
      </c>
      <c r="O73">
        <v>90.66</v>
      </c>
      <c r="P73">
        <v>5</v>
      </c>
      <c r="Q73">
        <v>4</v>
      </c>
      <c r="R73" t="s">
        <v>24</v>
      </c>
      <c r="S73" t="s">
        <v>24</v>
      </c>
      <c r="T73" t="s">
        <v>24</v>
      </c>
      <c r="U73" t="s">
        <v>24</v>
      </c>
      <c r="V73">
        <v>1</v>
      </c>
      <c r="Y73" t="s">
        <v>47</v>
      </c>
    </row>
    <row r="74" spans="1:25" x14ac:dyDescent="0.25">
      <c r="A74">
        <v>73</v>
      </c>
      <c r="B74" t="s">
        <v>45</v>
      </c>
      <c r="C74" s="1">
        <v>46021</v>
      </c>
      <c r="D74" s="2">
        <v>0.33888888888888891</v>
      </c>
      <c r="E74">
        <v>8.8640000000000008</v>
      </c>
      <c r="F74">
        <v>84.6</v>
      </c>
      <c r="G74">
        <v>9.8000000000000007</v>
      </c>
      <c r="H74">
        <v>461.3</v>
      </c>
      <c r="I74">
        <v>299.82900000000001</v>
      </c>
      <c r="J74">
        <v>0.22</v>
      </c>
      <c r="K74">
        <v>8.06</v>
      </c>
      <c r="L74">
        <v>68.680000000000007</v>
      </c>
      <c r="M74">
        <v>0.51</v>
      </c>
      <c r="N74">
        <v>3.19</v>
      </c>
      <c r="O74">
        <v>64.790000000000006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24</v>
      </c>
    </row>
    <row r="75" spans="1:25" x14ac:dyDescent="0.25">
      <c r="A75">
        <v>74</v>
      </c>
      <c r="B75" t="s">
        <v>27</v>
      </c>
      <c r="C75" s="1">
        <v>46021</v>
      </c>
      <c r="D75" s="2">
        <v>0.36944444444444446</v>
      </c>
      <c r="E75">
        <v>10.201000000000001</v>
      </c>
      <c r="F75">
        <v>85.1</v>
      </c>
      <c r="G75">
        <v>9.56</v>
      </c>
      <c r="H75">
        <v>136.30000000000001</v>
      </c>
      <c r="I75">
        <v>88.581000000000003</v>
      </c>
      <c r="J75">
        <v>0.06</v>
      </c>
      <c r="K75">
        <v>7.62</v>
      </c>
      <c r="L75">
        <v>82.56</v>
      </c>
      <c r="M75">
        <v>0.46</v>
      </c>
      <c r="N75">
        <v>1.03</v>
      </c>
      <c r="O75">
        <v>40.07</v>
      </c>
      <c r="P75">
        <v>1</v>
      </c>
      <c r="Q75">
        <v>30</v>
      </c>
      <c r="R75">
        <v>4</v>
      </c>
      <c r="S75">
        <v>153060</v>
      </c>
      <c r="T75">
        <v>153708</v>
      </c>
      <c r="U75">
        <f>T75-S75</f>
        <v>648</v>
      </c>
      <c r="V75">
        <v>1</v>
      </c>
    </row>
    <row r="76" spans="1:25" x14ac:dyDescent="0.25">
      <c r="A76">
        <v>75</v>
      </c>
      <c r="B76" t="s">
        <v>29</v>
      </c>
      <c r="C76" s="1">
        <v>46021</v>
      </c>
      <c r="D76" s="2">
        <v>0.38333333333333336</v>
      </c>
      <c r="E76">
        <v>10.074999999999999</v>
      </c>
      <c r="F76">
        <v>93.4</v>
      </c>
      <c r="G76">
        <v>10.52</v>
      </c>
      <c r="H76">
        <v>135.30000000000001</v>
      </c>
      <c r="I76">
        <v>87.93</v>
      </c>
      <c r="J76">
        <v>0.06</v>
      </c>
      <c r="K76">
        <v>7.69</v>
      </c>
      <c r="L76">
        <v>91.77</v>
      </c>
      <c r="M76">
        <v>0.48</v>
      </c>
      <c r="N76">
        <v>1.25</v>
      </c>
      <c r="O76">
        <v>39.47</v>
      </c>
      <c r="P76">
        <v>1</v>
      </c>
      <c r="Q76">
        <v>30</v>
      </c>
      <c r="R76">
        <v>4</v>
      </c>
      <c r="S76">
        <v>153710</v>
      </c>
      <c r="T76">
        <v>154388</v>
      </c>
      <c r="U76">
        <f t="shared" ref="U76:U87" si="6">T76-S76</f>
        <v>678</v>
      </c>
      <c r="V76">
        <v>1</v>
      </c>
    </row>
    <row r="77" spans="1:25" x14ac:dyDescent="0.25">
      <c r="A77">
        <v>76</v>
      </c>
      <c r="B77" t="s">
        <v>30</v>
      </c>
      <c r="C77" s="1">
        <v>46021</v>
      </c>
      <c r="D77" s="2">
        <v>0.40694444444444444</v>
      </c>
      <c r="E77">
        <v>9.7080000000000002</v>
      </c>
      <c r="F77">
        <v>89.7</v>
      </c>
      <c r="G77">
        <v>10.19</v>
      </c>
      <c r="H77">
        <v>134.5</v>
      </c>
      <c r="I77">
        <v>87.438000000000002</v>
      </c>
      <c r="J77">
        <v>0.06</v>
      </c>
      <c r="K77">
        <v>7.67</v>
      </c>
      <c r="L77">
        <v>110.66</v>
      </c>
      <c r="M77">
        <v>0.53</v>
      </c>
      <c r="N77">
        <v>1.07</v>
      </c>
      <c r="O77">
        <v>38.24</v>
      </c>
      <c r="P77">
        <v>2.5</v>
      </c>
      <c r="Q77">
        <v>30</v>
      </c>
      <c r="R77">
        <v>4</v>
      </c>
      <c r="S77">
        <v>154390</v>
      </c>
      <c r="T77">
        <v>154988</v>
      </c>
      <c r="U77">
        <f t="shared" si="6"/>
        <v>598</v>
      </c>
      <c r="V77">
        <v>1</v>
      </c>
      <c r="Y77" t="s">
        <v>55</v>
      </c>
    </row>
    <row r="78" spans="1:25" x14ac:dyDescent="0.25">
      <c r="A78">
        <v>77</v>
      </c>
      <c r="B78" t="s">
        <v>44</v>
      </c>
      <c r="C78" s="1">
        <v>46021</v>
      </c>
      <c r="D78" s="2">
        <v>0.42291666666666666</v>
      </c>
      <c r="E78">
        <v>9.7409999999999997</v>
      </c>
      <c r="F78">
        <v>90.3</v>
      </c>
      <c r="G78">
        <v>10.25</v>
      </c>
      <c r="H78">
        <v>139.1</v>
      </c>
      <c r="I78">
        <v>90.430999999999997</v>
      </c>
      <c r="J78">
        <v>7.0000000000000007E-2</v>
      </c>
      <c r="K78">
        <v>7.7</v>
      </c>
      <c r="L78">
        <v>107.95</v>
      </c>
      <c r="M78">
        <v>0.51</v>
      </c>
      <c r="N78">
        <v>1.05</v>
      </c>
      <c r="O78">
        <v>39.299999999999997</v>
      </c>
      <c r="P78">
        <v>1.5</v>
      </c>
      <c r="Q78">
        <v>30</v>
      </c>
      <c r="R78">
        <v>4</v>
      </c>
      <c r="S78">
        <v>154990</v>
      </c>
      <c r="T78">
        <v>155535</v>
      </c>
      <c r="U78">
        <f t="shared" si="6"/>
        <v>545</v>
      </c>
      <c r="V78">
        <v>1</v>
      </c>
    </row>
    <row r="79" spans="1:25" x14ac:dyDescent="0.25">
      <c r="A79">
        <v>78</v>
      </c>
      <c r="B79" t="s">
        <v>56</v>
      </c>
      <c r="C79" s="1">
        <v>46021</v>
      </c>
      <c r="D79" s="2">
        <v>0.4375</v>
      </c>
      <c r="E79">
        <v>9.4740000000000002</v>
      </c>
      <c r="F79">
        <v>80.400000000000006</v>
      </c>
      <c r="G79">
        <v>9.19</v>
      </c>
      <c r="H79">
        <v>138.80000000000001</v>
      </c>
      <c r="I79">
        <v>90.215000000000003</v>
      </c>
      <c r="J79">
        <v>7.0000000000000007E-2</v>
      </c>
      <c r="K79">
        <v>7.55</v>
      </c>
      <c r="L79">
        <v>54.1</v>
      </c>
      <c r="M79">
        <v>0.52</v>
      </c>
      <c r="N79">
        <v>2.2400000000000002</v>
      </c>
      <c r="O79">
        <v>54.7</v>
      </c>
      <c r="P79">
        <v>3.5</v>
      </c>
      <c r="Q79">
        <v>30</v>
      </c>
      <c r="R79">
        <v>4</v>
      </c>
      <c r="S79">
        <v>155546</v>
      </c>
      <c r="T79">
        <v>156213</v>
      </c>
      <c r="U79">
        <f t="shared" si="6"/>
        <v>667</v>
      </c>
      <c r="V79">
        <v>1</v>
      </c>
    </row>
    <row r="80" spans="1:25" x14ac:dyDescent="0.25">
      <c r="A80">
        <v>79</v>
      </c>
      <c r="B80" t="s">
        <v>53</v>
      </c>
      <c r="C80" s="1">
        <v>46021</v>
      </c>
      <c r="D80" s="2">
        <v>0.45</v>
      </c>
      <c r="E80">
        <v>9.0709999999999997</v>
      </c>
      <c r="F80">
        <v>65.400000000000006</v>
      </c>
      <c r="G80">
        <v>7.53</v>
      </c>
      <c r="H80">
        <v>382.7</v>
      </c>
      <c r="I80">
        <v>248.761</v>
      </c>
      <c r="J80">
        <v>0.18</v>
      </c>
      <c r="K80">
        <v>7.56</v>
      </c>
      <c r="L80">
        <v>171.38</v>
      </c>
      <c r="M80">
        <v>1.76</v>
      </c>
      <c r="N80">
        <v>14.65</v>
      </c>
      <c r="O80">
        <v>48.8</v>
      </c>
      <c r="P80">
        <v>4</v>
      </c>
      <c r="Q80">
        <v>30</v>
      </c>
      <c r="R80">
        <v>4</v>
      </c>
      <c r="S80">
        <v>156210</v>
      </c>
      <c r="T80">
        <v>156884</v>
      </c>
      <c r="U80">
        <f t="shared" si="6"/>
        <v>674</v>
      </c>
      <c r="V80">
        <v>1</v>
      </c>
    </row>
    <row r="81" spans="1:25" x14ac:dyDescent="0.25">
      <c r="A81">
        <v>80</v>
      </c>
      <c r="B81" t="s">
        <v>31</v>
      </c>
      <c r="C81" s="1">
        <v>46021</v>
      </c>
      <c r="D81" s="2">
        <v>0.47916666666666669</v>
      </c>
      <c r="E81">
        <v>9.734</v>
      </c>
      <c r="F81">
        <v>77.900000000000006</v>
      </c>
      <c r="G81">
        <v>8.85</v>
      </c>
      <c r="H81">
        <v>143.6</v>
      </c>
      <c r="I81">
        <v>93.316000000000003</v>
      </c>
      <c r="J81">
        <v>7.0000000000000007E-2</v>
      </c>
      <c r="K81">
        <v>7.54</v>
      </c>
      <c r="L81">
        <v>68.349999999999994</v>
      </c>
      <c r="M81">
        <v>0.45</v>
      </c>
      <c r="N81">
        <v>1.58</v>
      </c>
      <c r="O81">
        <v>47.83</v>
      </c>
      <c r="P81">
        <v>2.5</v>
      </c>
      <c r="Q81">
        <v>30</v>
      </c>
      <c r="R81">
        <v>4</v>
      </c>
      <c r="S81">
        <v>156878</v>
      </c>
      <c r="T81">
        <v>157518</v>
      </c>
      <c r="U81">
        <f t="shared" si="6"/>
        <v>640</v>
      </c>
      <c r="V81">
        <v>1</v>
      </c>
    </row>
    <row r="82" spans="1:25" x14ac:dyDescent="0.25">
      <c r="A82">
        <v>81</v>
      </c>
      <c r="B82" t="s">
        <v>32</v>
      </c>
      <c r="C82" s="1">
        <v>46021</v>
      </c>
      <c r="D82" s="2">
        <v>0.49861111111111112</v>
      </c>
      <c r="E82">
        <v>9.8010000000000002</v>
      </c>
      <c r="F82">
        <v>77.400000000000006</v>
      </c>
      <c r="G82">
        <v>8.77</v>
      </c>
      <c r="H82">
        <v>138.69999999999999</v>
      </c>
      <c r="I82">
        <v>90.183000000000007</v>
      </c>
      <c r="J82">
        <v>7.0000000000000007E-2</v>
      </c>
      <c r="K82">
        <v>7.53</v>
      </c>
      <c r="L82">
        <v>64.17</v>
      </c>
      <c r="M82">
        <v>0.5</v>
      </c>
      <c r="N82">
        <v>1.77</v>
      </c>
      <c r="O82">
        <v>48.74</v>
      </c>
      <c r="P82">
        <v>2.5</v>
      </c>
      <c r="Q82">
        <v>30</v>
      </c>
      <c r="R82">
        <v>4</v>
      </c>
      <c r="S82">
        <v>157520</v>
      </c>
      <c r="T82">
        <v>158175</v>
      </c>
      <c r="U82">
        <f t="shared" si="6"/>
        <v>655</v>
      </c>
      <c r="V82">
        <v>1</v>
      </c>
    </row>
    <row r="83" spans="1:25" x14ac:dyDescent="0.25">
      <c r="A83">
        <v>82</v>
      </c>
      <c r="B83" t="s">
        <v>33</v>
      </c>
      <c r="C83" s="1">
        <v>46021</v>
      </c>
      <c r="D83" s="2">
        <v>0.5229166666666667</v>
      </c>
      <c r="E83">
        <v>9.6180000000000003</v>
      </c>
      <c r="F83">
        <v>71.599999999999994</v>
      </c>
      <c r="G83">
        <v>8.15</v>
      </c>
      <c r="H83">
        <v>152.69999999999999</v>
      </c>
      <c r="I83">
        <v>99.222999999999999</v>
      </c>
      <c r="J83">
        <v>7.0000000000000007E-2</v>
      </c>
      <c r="K83">
        <v>7.45</v>
      </c>
      <c r="L83">
        <v>75.010000000000005</v>
      </c>
      <c r="M83">
        <v>0.56000000000000005</v>
      </c>
      <c r="N83">
        <v>4.3499999999999996</v>
      </c>
      <c r="O83">
        <v>50.74</v>
      </c>
      <c r="P83">
        <v>3</v>
      </c>
      <c r="Q83">
        <v>30</v>
      </c>
      <c r="R83">
        <v>4</v>
      </c>
      <c r="S83">
        <v>158180</v>
      </c>
      <c r="T83">
        <v>158770</v>
      </c>
      <c r="U83">
        <f t="shared" si="6"/>
        <v>590</v>
      </c>
      <c r="V83">
        <v>1</v>
      </c>
    </row>
    <row r="84" spans="1:25" x14ac:dyDescent="0.25">
      <c r="A84">
        <v>83</v>
      </c>
      <c r="B84" t="s">
        <v>42</v>
      </c>
      <c r="C84" s="1">
        <v>46021</v>
      </c>
      <c r="D84" s="2">
        <v>0.34722222222222221</v>
      </c>
      <c r="E84">
        <v>9.6999999999999993</v>
      </c>
      <c r="F84">
        <v>57.3</v>
      </c>
      <c r="G84">
        <v>6.5</v>
      </c>
      <c r="H84">
        <v>427</v>
      </c>
      <c r="I84">
        <v>277</v>
      </c>
      <c r="J84">
        <v>0.21</v>
      </c>
      <c r="K84">
        <v>7.64</v>
      </c>
      <c r="L84">
        <v>55.4</v>
      </c>
      <c r="M84">
        <v>0.38</v>
      </c>
      <c r="N84">
        <v>5.71</v>
      </c>
      <c r="O84">
        <v>77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</row>
    <row r="85" spans="1:25" x14ac:dyDescent="0.25">
      <c r="A85">
        <v>84</v>
      </c>
      <c r="B85" t="s">
        <v>41</v>
      </c>
      <c r="C85" s="1">
        <v>46021</v>
      </c>
      <c r="D85" s="2">
        <v>0.37152777777777779</v>
      </c>
      <c r="E85">
        <v>9.67</v>
      </c>
      <c r="F85">
        <v>56.5</v>
      </c>
      <c r="G85">
        <v>6.41</v>
      </c>
      <c r="H85">
        <v>427</v>
      </c>
      <c r="I85">
        <v>277</v>
      </c>
      <c r="J85">
        <v>0.21</v>
      </c>
      <c r="K85">
        <v>7.61</v>
      </c>
      <c r="L85">
        <v>58.5</v>
      </c>
      <c r="M85">
        <v>0.36</v>
      </c>
      <c r="N85">
        <v>4.9400000000000004</v>
      </c>
      <c r="O85">
        <v>76.400000000000006</v>
      </c>
      <c r="P85">
        <v>2</v>
      </c>
      <c r="Q85">
        <v>30</v>
      </c>
      <c r="R85">
        <v>4</v>
      </c>
      <c r="S85">
        <v>128182</v>
      </c>
      <c r="T85">
        <v>128509</v>
      </c>
      <c r="U85">
        <f t="shared" si="6"/>
        <v>327</v>
      </c>
      <c r="V85">
        <v>1</v>
      </c>
    </row>
    <row r="86" spans="1:25" x14ac:dyDescent="0.25">
      <c r="A86">
        <v>85</v>
      </c>
      <c r="B86" t="s">
        <v>36</v>
      </c>
      <c r="C86" s="1">
        <v>46021</v>
      </c>
      <c r="D86" s="2">
        <v>0.47222222222222221</v>
      </c>
      <c r="E86">
        <v>9.64</v>
      </c>
      <c r="F86">
        <v>65.599999999999994</v>
      </c>
      <c r="G86">
        <v>7.45</v>
      </c>
      <c r="H86">
        <v>165.6</v>
      </c>
      <c r="I86">
        <v>107.66</v>
      </c>
      <c r="J86">
        <v>0.08</v>
      </c>
      <c r="K86">
        <v>7.34</v>
      </c>
      <c r="L86">
        <v>62.42</v>
      </c>
      <c r="M86">
        <v>0.36</v>
      </c>
      <c r="N86">
        <v>5.59</v>
      </c>
      <c r="O86">
        <v>52.32</v>
      </c>
      <c r="P86">
        <v>3</v>
      </c>
      <c r="Q86">
        <v>30</v>
      </c>
      <c r="R86">
        <v>4</v>
      </c>
      <c r="S86">
        <v>128528</v>
      </c>
      <c r="T86">
        <v>128899</v>
      </c>
      <c r="U86">
        <f t="shared" si="6"/>
        <v>371</v>
      </c>
      <c r="V86">
        <v>1</v>
      </c>
      <c r="Y86" t="s">
        <v>54</v>
      </c>
    </row>
    <row r="87" spans="1:25" x14ac:dyDescent="0.25">
      <c r="A87">
        <v>86</v>
      </c>
      <c r="B87" t="s">
        <v>34</v>
      </c>
      <c r="C87" s="1">
        <v>46021</v>
      </c>
      <c r="D87" s="2">
        <v>0.53819444444444442</v>
      </c>
      <c r="E87">
        <v>9.16</v>
      </c>
      <c r="F87">
        <v>69.8</v>
      </c>
      <c r="G87">
        <v>8.01</v>
      </c>
      <c r="H87">
        <v>205.1</v>
      </c>
      <c r="I87">
        <v>133.29</v>
      </c>
      <c r="J87">
        <v>0.1</v>
      </c>
      <c r="K87">
        <v>7.46</v>
      </c>
      <c r="L87">
        <v>66.25</v>
      </c>
      <c r="M87">
        <v>0.32</v>
      </c>
      <c r="N87">
        <v>3.51</v>
      </c>
      <c r="O87">
        <v>53.61</v>
      </c>
      <c r="P87">
        <v>4</v>
      </c>
      <c r="Q87">
        <v>30</v>
      </c>
      <c r="R87">
        <v>4</v>
      </c>
      <c r="S87">
        <v>128905</v>
      </c>
      <c r="T87">
        <v>129078</v>
      </c>
      <c r="U87">
        <f t="shared" si="6"/>
        <v>173</v>
      </c>
      <c r="V87">
        <v>1</v>
      </c>
    </row>
    <row r="88" spans="1:25" x14ac:dyDescent="0.25">
      <c r="A88">
        <v>87</v>
      </c>
      <c r="B88" t="s">
        <v>45</v>
      </c>
      <c r="C88" s="1">
        <v>46028</v>
      </c>
      <c r="D88" s="2">
        <v>0.34236111111111112</v>
      </c>
      <c r="E88">
        <v>10.667</v>
      </c>
      <c r="F88">
        <v>87.5</v>
      </c>
      <c r="G88">
        <v>9.7100000000000009</v>
      </c>
      <c r="H88">
        <v>359.1</v>
      </c>
      <c r="I88">
        <v>233.43100000000001</v>
      </c>
      <c r="J88">
        <v>0.71</v>
      </c>
      <c r="K88">
        <v>8.06</v>
      </c>
      <c r="L88">
        <v>94.6</v>
      </c>
      <c r="M88">
        <v>0.32</v>
      </c>
      <c r="N88">
        <v>3.44</v>
      </c>
      <c r="O88">
        <v>54.08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Y88" t="s">
        <v>59</v>
      </c>
    </row>
    <row r="89" spans="1:25" x14ac:dyDescent="0.25">
      <c r="A89">
        <v>88</v>
      </c>
      <c r="B89" t="s">
        <v>27</v>
      </c>
      <c r="C89" s="1">
        <v>46028</v>
      </c>
      <c r="D89" s="2">
        <v>0.375</v>
      </c>
      <c r="E89">
        <v>11.193</v>
      </c>
      <c r="F89">
        <v>83</v>
      </c>
      <c r="G89">
        <v>9.11</v>
      </c>
      <c r="H89">
        <v>135.4</v>
      </c>
      <c r="I89">
        <v>88.034999999999997</v>
      </c>
      <c r="J89">
        <v>0.06</v>
      </c>
      <c r="K89">
        <v>7.5</v>
      </c>
      <c r="L89">
        <v>33.53</v>
      </c>
      <c r="M89">
        <v>0.18</v>
      </c>
      <c r="N89">
        <v>1.48</v>
      </c>
      <c r="O89">
        <v>42.15</v>
      </c>
      <c r="P89">
        <v>2</v>
      </c>
      <c r="Q89">
        <v>30</v>
      </c>
      <c r="R89">
        <v>4</v>
      </c>
      <c r="S89">
        <v>158775</v>
      </c>
      <c r="T89">
        <v>159441</v>
      </c>
      <c r="U89">
        <f>T89-S89</f>
        <v>666</v>
      </c>
      <c r="V89">
        <v>1</v>
      </c>
    </row>
    <row r="90" spans="1:25" x14ac:dyDescent="0.25">
      <c r="A90">
        <v>89</v>
      </c>
      <c r="B90" t="s">
        <v>29</v>
      </c>
      <c r="C90" s="1">
        <v>46028</v>
      </c>
      <c r="D90" s="2">
        <v>0.38541666666666669</v>
      </c>
      <c r="E90">
        <v>11.259</v>
      </c>
      <c r="F90">
        <v>89.5</v>
      </c>
      <c r="G90">
        <v>9.81</v>
      </c>
      <c r="H90">
        <v>137.1</v>
      </c>
      <c r="I90">
        <v>89.102000000000004</v>
      </c>
      <c r="J90">
        <v>0.06</v>
      </c>
      <c r="K90">
        <v>7.54</v>
      </c>
      <c r="L90">
        <v>41.47</v>
      </c>
      <c r="M90">
        <v>0.19</v>
      </c>
      <c r="N90">
        <v>1.71</v>
      </c>
      <c r="O90">
        <v>40.22</v>
      </c>
      <c r="P90">
        <v>3</v>
      </c>
      <c r="Q90">
        <v>30</v>
      </c>
      <c r="R90">
        <v>4</v>
      </c>
      <c r="S90">
        <v>159441</v>
      </c>
      <c r="T90">
        <v>160074</v>
      </c>
      <c r="U90">
        <f t="shared" ref="U90:U153" si="7">T90-S90</f>
        <v>633</v>
      </c>
      <c r="V90">
        <v>1</v>
      </c>
    </row>
    <row r="91" spans="1:25" x14ac:dyDescent="0.25">
      <c r="A91">
        <v>90</v>
      </c>
      <c r="B91" t="s">
        <v>30</v>
      </c>
      <c r="C91" s="1">
        <v>46028</v>
      </c>
      <c r="D91" s="2">
        <v>0.40763888888888888</v>
      </c>
      <c r="E91">
        <v>11.349</v>
      </c>
      <c r="F91">
        <v>89.2</v>
      </c>
      <c r="G91">
        <v>9.76</v>
      </c>
      <c r="H91">
        <v>159.30000000000001</v>
      </c>
      <c r="I91">
        <v>103.562</v>
      </c>
      <c r="J91">
        <v>0.08</v>
      </c>
      <c r="K91">
        <v>7.57</v>
      </c>
      <c r="L91">
        <v>68.19</v>
      </c>
      <c r="M91">
        <v>0.23</v>
      </c>
      <c r="N91">
        <v>1.71</v>
      </c>
      <c r="O91">
        <v>37.64</v>
      </c>
      <c r="P91">
        <v>3</v>
      </c>
      <c r="Q91">
        <v>30</v>
      </c>
      <c r="R91">
        <v>4</v>
      </c>
      <c r="S91">
        <v>160077</v>
      </c>
      <c r="T91">
        <v>160687</v>
      </c>
      <c r="U91">
        <f t="shared" si="7"/>
        <v>610</v>
      </c>
      <c r="V91">
        <v>1</v>
      </c>
    </row>
    <row r="92" spans="1:25" x14ac:dyDescent="0.25">
      <c r="A92">
        <v>91</v>
      </c>
      <c r="B92" t="s">
        <v>44</v>
      </c>
      <c r="C92" s="1">
        <v>46028</v>
      </c>
      <c r="D92" s="2">
        <v>0.42638888888888887</v>
      </c>
      <c r="E92">
        <v>11.635999999999999</v>
      </c>
      <c r="F92">
        <v>90.1</v>
      </c>
      <c r="G92">
        <v>9.7899999999999991</v>
      </c>
      <c r="H92">
        <v>151.19999999999999</v>
      </c>
      <c r="I92">
        <v>98.253</v>
      </c>
      <c r="J92">
        <v>7.0000000000000007E-2</v>
      </c>
      <c r="K92">
        <v>7.62</v>
      </c>
      <c r="L92">
        <v>93.9</v>
      </c>
      <c r="M92">
        <v>0.28999999999999998</v>
      </c>
      <c r="N92">
        <v>1.79</v>
      </c>
      <c r="O92">
        <v>35.979999999999997</v>
      </c>
      <c r="P92">
        <v>2.5</v>
      </c>
      <c r="Q92">
        <v>30</v>
      </c>
      <c r="R92">
        <v>4</v>
      </c>
      <c r="S92">
        <v>160687</v>
      </c>
      <c r="T92">
        <v>161278</v>
      </c>
      <c r="U92">
        <f t="shared" si="7"/>
        <v>591</v>
      </c>
      <c r="V92">
        <v>1</v>
      </c>
    </row>
    <row r="93" spans="1:25" x14ac:dyDescent="0.25">
      <c r="A93">
        <v>92</v>
      </c>
      <c r="B93" t="s">
        <v>56</v>
      </c>
      <c r="C93" s="1">
        <v>46028</v>
      </c>
      <c r="D93" s="2">
        <v>0.5625</v>
      </c>
      <c r="E93">
        <v>11.414</v>
      </c>
      <c r="F93">
        <v>88.5</v>
      </c>
      <c r="G93">
        <v>9.66</v>
      </c>
      <c r="H93">
        <v>122.9</v>
      </c>
      <c r="I93">
        <v>79.869</v>
      </c>
      <c r="J93">
        <v>0.06</v>
      </c>
      <c r="K93">
        <v>7.54</v>
      </c>
      <c r="L93">
        <v>28.42</v>
      </c>
      <c r="M93">
        <v>0.17</v>
      </c>
      <c r="N93">
        <v>1.58</v>
      </c>
      <c r="O93">
        <v>40.840000000000003</v>
      </c>
      <c r="P93">
        <v>2.5</v>
      </c>
      <c r="Q93">
        <v>30</v>
      </c>
      <c r="R93">
        <v>4</v>
      </c>
      <c r="S93">
        <v>161278</v>
      </c>
      <c r="T93">
        <v>161935</v>
      </c>
      <c r="U93">
        <f t="shared" si="7"/>
        <v>657</v>
      </c>
      <c r="V93">
        <v>1</v>
      </c>
    </row>
    <row r="94" spans="1:25" x14ac:dyDescent="0.25">
      <c r="A94">
        <v>93</v>
      </c>
      <c r="B94" t="s">
        <v>57</v>
      </c>
      <c r="C94" s="1">
        <v>46028</v>
      </c>
      <c r="D94" s="2">
        <v>0.46388888888888891</v>
      </c>
      <c r="E94">
        <v>11.092000000000001</v>
      </c>
      <c r="F94">
        <v>91.1</v>
      </c>
      <c r="G94">
        <v>10.029999999999999</v>
      </c>
      <c r="H94">
        <v>109.8</v>
      </c>
      <c r="I94">
        <v>71.372</v>
      </c>
      <c r="J94">
        <v>0.05</v>
      </c>
      <c r="K94">
        <v>7.5</v>
      </c>
      <c r="L94">
        <v>29.22</v>
      </c>
      <c r="M94">
        <v>0.2</v>
      </c>
      <c r="N94">
        <v>1.49</v>
      </c>
      <c r="O94">
        <v>44.01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24</v>
      </c>
      <c r="Y94" t="s">
        <v>58</v>
      </c>
    </row>
    <row r="95" spans="1:25" x14ac:dyDescent="0.25">
      <c r="A95">
        <v>94</v>
      </c>
      <c r="B95" t="s">
        <v>31</v>
      </c>
      <c r="C95" s="1">
        <v>46028</v>
      </c>
      <c r="D95" s="2">
        <v>0.47986111111111113</v>
      </c>
      <c r="E95">
        <v>11.509</v>
      </c>
      <c r="F95">
        <v>49.9</v>
      </c>
      <c r="G95">
        <v>8.6999999999999993</v>
      </c>
      <c r="H95">
        <v>175.9</v>
      </c>
      <c r="I95">
        <v>114.318</v>
      </c>
      <c r="J95">
        <v>0.08</v>
      </c>
      <c r="K95">
        <v>7.49</v>
      </c>
      <c r="L95">
        <v>52.95</v>
      </c>
      <c r="M95">
        <v>0.25</v>
      </c>
      <c r="N95">
        <v>2.02</v>
      </c>
      <c r="O95">
        <v>45.6</v>
      </c>
      <c r="P95">
        <v>3</v>
      </c>
      <c r="Q95">
        <v>30</v>
      </c>
      <c r="R95">
        <v>4</v>
      </c>
      <c r="S95">
        <v>161935</v>
      </c>
      <c r="T95">
        <v>162501</v>
      </c>
      <c r="U95">
        <f t="shared" si="7"/>
        <v>566</v>
      </c>
      <c r="V95">
        <v>1</v>
      </c>
    </row>
    <row r="96" spans="1:25" x14ac:dyDescent="0.25">
      <c r="A96">
        <v>95</v>
      </c>
      <c r="B96" t="s">
        <v>32</v>
      </c>
      <c r="C96" s="1">
        <v>46028</v>
      </c>
      <c r="D96" s="2">
        <v>0.49513888888888891</v>
      </c>
      <c r="E96">
        <v>12.061999999999999</v>
      </c>
      <c r="F96">
        <v>81.400000000000006</v>
      </c>
      <c r="G96">
        <v>8.75</v>
      </c>
      <c r="H96">
        <v>217</v>
      </c>
      <c r="I96">
        <v>141.05600000000001</v>
      </c>
      <c r="J96">
        <v>0.1</v>
      </c>
      <c r="K96">
        <v>7.57</v>
      </c>
      <c r="L96">
        <v>38.450000000000003</v>
      </c>
      <c r="M96">
        <v>0.22</v>
      </c>
      <c r="N96">
        <v>2.09</v>
      </c>
      <c r="O96">
        <v>49.94</v>
      </c>
      <c r="P96">
        <v>4</v>
      </c>
      <c r="Q96">
        <v>30</v>
      </c>
      <c r="R96">
        <v>4</v>
      </c>
      <c r="S96">
        <v>162501</v>
      </c>
      <c r="T96">
        <v>163176</v>
      </c>
      <c r="U96">
        <f t="shared" si="7"/>
        <v>675</v>
      </c>
      <c r="V96">
        <v>1</v>
      </c>
    </row>
    <row r="97" spans="1:22" x14ac:dyDescent="0.25">
      <c r="A97">
        <v>96</v>
      </c>
      <c r="B97" t="s">
        <v>42</v>
      </c>
      <c r="C97" s="1">
        <v>46028</v>
      </c>
      <c r="D97" s="2">
        <v>0.34722222222222221</v>
      </c>
      <c r="E97">
        <v>11.39</v>
      </c>
      <c r="F97">
        <v>61.4</v>
      </c>
      <c r="G97">
        <v>6.69</v>
      </c>
      <c r="H97">
        <v>467.6</v>
      </c>
      <c r="I97">
        <v>303.8</v>
      </c>
      <c r="J97">
        <v>0.23</v>
      </c>
      <c r="K97">
        <v>7.65</v>
      </c>
      <c r="L97">
        <v>53.2</v>
      </c>
      <c r="M97">
        <v>0.51</v>
      </c>
      <c r="N97">
        <v>4.4000000000000004</v>
      </c>
      <c r="O97">
        <v>78.099999999999994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24</v>
      </c>
    </row>
    <row r="98" spans="1:22" x14ac:dyDescent="0.25">
      <c r="A98">
        <v>97</v>
      </c>
      <c r="B98" t="s">
        <v>41</v>
      </c>
      <c r="C98" s="1">
        <v>46028</v>
      </c>
      <c r="D98" s="2">
        <v>0.3576388888888889</v>
      </c>
      <c r="E98">
        <v>11.43</v>
      </c>
      <c r="F98">
        <v>61.6</v>
      </c>
      <c r="G98">
        <v>6.71</v>
      </c>
      <c r="H98">
        <v>465.9</v>
      </c>
      <c r="I98">
        <v>302.8</v>
      </c>
      <c r="J98">
        <v>0.23</v>
      </c>
      <c r="K98">
        <v>7.66</v>
      </c>
      <c r="L98">
        <v>56.1</v>
      </c>
      <c r="M98">
        <v>0.51</v>
      </c>
      <c r="N98">
        <v>3.44</v>
      </c>
      <c r="O98">
        <v>77.3</v>
      </c>
      <c r="P98">
        <v>4</v>
      </c>
      <c r="Q98">
        <v>30</v>
      </c>
      <c r="R98">
        <v>4</v>
      </c>
      <c r="S98">
        <v>129217</v>
      </c>
      <c r="T98">
        <v>130062</v>
      </c>
      <c r="U98">
        <f t="shared" si="7"/>
        <v>845</v>
      </c>
      <c r="V98">
        <v>1</v>
      </c>
    </row>
    <row r="99" spans="1:22" x14ac:dyDescent="0.25">
      <c r="A99">
        <v>98</v>
      </c>
      <c r="B99" t="s">
        <v>36</v>
      </c>
      <c r="C99" s="1">
        <v>46028</v>
      </c>
      <c r="D99" s="2">
        <v>0.4236111111111111</v>
      </c>
      <c r="E99">
        <v>11.14</v>
      </c>
      <c r="F99">
        <v>61.9</v>
      </c>
      <c r="G99">
        <v>6.8</v>
      </c>
      <c r="H99">
        <v>309.7</v>
      </c>
      <c r="I99">
        <v>201.4</v>
      </c>
      <c r="J99">
        <v>0.15</v>
      </c>
      <c r="K99">
        <v>7.5</v>
      </c>
      <c r="L99">
        <v>22.6</v>
      </c>
      <c r="M99">
        <v>0.33</v>
      </c>
      <c r="N99">
        <v>2.4</v>
      </c>
      <c r="O99">
        <v>70.510000000000005</v>
      </c>
      <c r="P99">
        <v>4</v>
      </c>
      <c r="Q99">
        <v>30</v>
      </c>
      <c r="R99">
        <v>4</v>
      </c>
      <c r="S99">
        <v>130013</v>
      </c>
      <c r="T99">
        <v>130473</v>
      </c>
      <c r="U99">
        <f t="shared" si="7"/>
        <v>460</v>
      </c>
      <c r="V99">
        <v>1</v>
      </c>
    </row>
    <row r="100" spans="1:22" x14ac:dyDescent="0.25">
      <c r="A100">
        <v>99</v>
      </c>
      <c r="B100" t="s">
        <v>34</v>
      </c>
      <c r="C100" s="1">
        <v>46028</v>
      </c>
      <c r="D100" s="2">
        <v>0.4548611111111111</v>
      </c>
      <c r="E100">
        <v>11.3</v>
      </c>
      <c r="F100">
        <v>64.8</v>
      </c>
      <c r="G100">
        <v>7.08</v>
      </c>
      <c r="H100">
        <v>317.2</v>
      </c>
      <c r="I100">
        <v>206.2</v>
      </c>
      <c r="J100">
        <v>0.15</v>
      </c>
      <c r="K100">
        <v>7.53</v>
      </c>
      <c r="L100">
        <v>24.6</v>
      </c>
      <c r="M100">
        <v>0.39</v>
      </c>
      <c r="N100">
        <v>2.2799999999999998</v>
      </c>
      <c r="O100">
        <v>67.11</v>
      </c>
      <c r="P100">
        <v>3.5</v>
      </c>
      <c r="Q100">
        <v>30</v>
      </c>
      <c r="R100">
        <v>4</v>
      </c>
      <c r="S100">
        <v>130469</v>
      </c>
      <c r="T100">
        <v>130982</v>
      </c>
      <c r="U100">
        <f t="shared" si="7"/>
        <v>513</v>
      </c>
      <c r="V100">
        <v>1</v>
      </c>
    </row>
    <row r="101" spans="1:22" x14ac:dyDescent="0.25">
      <c r="A101">
        <v>100</v>
      </c>
      <c r="B101" t="s">
        <v>33</v>
      </c>
      <c r="C101" s="1">
        <v>46028</v>
      </c>
      <c r="D101" s="2">
        <v>0.47222222222222221</v>
      </c>
      <c r="E101">
        <v>11.16</v>
      </c>
      <c r="F101">
        <v>65.099999999999994</v>
      </c>
      <c r="G101">
        <v>7.14</v>
      </c>
      <c r="H101">
        <v>313.39999999999998</v>
      </c>
      <c r="I101">
        <v>203.7</v>
      </c>
      <c r="J101">
        <v>0.15</v>
      </c>
      <c r="K101">
        <v>7.52</v>
      </c>
      <c r="L101">
        <v>32.82</v>
      </c>
      <c r="M101">
        <v>0.4</v>
      </c>
      <c r="N101">
        <v>1.94</v>
      </c>
      <c r="O101">
        <v>66.25</v>
      </c>
      <c r="P101">
        <v>4</v>
      </c>
      <c r="Q101">
        <v>30</v>
      </c>
      <c r="R101">
        <v>4</v>
      </c>
      <c r="S101">
        <v>130825</v>
      </c>
      <c r="T101">
        <v>131476</v>
      </c>
      <c r="U101">
        <f t="shared" si="7"/>
        <v>651</v>
      </c>
      <c r="V101">
        <v>1</v>
      </c>
    </row>
    <row r="102" spans="1:22" x14ac:dyDescent="0.25">
      <c r="A102">
        <v>101</v>
      </c>
      <c r="B102" t="s">
        <v>45</v>
      </c>
      <c r="C102" s="1">
        <v>46035</v>
      </c>
      <c r="D102" s="2">
        <v>0.34444444444444444</v>
      </c>
      <c r="E102">
        <v>9.5180000000000007</v>
      </c>
      <c r="F102">
        <v>93.1</v>
      </c>
      <c r="G102">
        <v>10.62</v>
      </c>
      <c r="H102">
        <v>444</v>
      </c>
      <c r="I102">
        <v>288.584</v>
      </c>
      <c r="J102">
        <v>0.21</v>
      </c>
      <c r="K102">
        <v>8.2100000000000009</v>
      </c>
      <c r="L102">
        <v>24.21</v>
      </c>
      <c r="M102">
        <v>0.75</v>
      </c>
      <c r="N102">
        <v>7.45</v>
      </c>
      <c r="O102">
        <v>43.15</v>
      </c>
      <c r="P102">
        <v>2.5</v>
      </c>
      <c r="Q102">
        <v>15</v>
      </c>
      <c r="R102">
        <v>4</v>
      </c>
      <c r="S102" t="s">
        <v>24</v>
      </c>
      <c r="T102" t="s">
        <v>24</v>
      </c>
      <c r="U102" t="s">
        <v>24</v>
      </c>
      <c r="V102">
        <v>1</v>
      </c>
    </row>
    <row r="103" spans="1:22" x14ac:dyDescent="0.25">
      <c r="A103">
        <v>102</v>
      </c>
      <c r="B103" t="s">
        <v>27</v>
      </c>
      <c r="C103" s="1">
        <v>46035</v>
      </c>
      <c r="D103" s="2">
        <v>0.3840277777777778</v>
      </c>
      <c r="E103">
        <v>9.0039999999999996</v>
      </c>
      <c r="F103">
        <v>88.4</v>
      </c>
      <c r="G103">
        <v>10.220000000000001</v>
      </c>
      <c r="H103">
        <v>159.80000000000001</v>
      </c>
      <c r="I103">
        <v>103.858</v>
      </c>
      <c r="J103">
        <v>0.08</v>
      </c>
      <c r="K103">
        <v>7.78</v>
      </c>
      <c r="L103">
        <v>27.35</v>
      </c>
      <c r="M103">
        <v>0.3</v>
      </c>
      <c r="N103">
        <v>0.03</v>
      </c>
      <c r="O103">
        <v>23.05</v>
      </c>
      <c r="P103">
        <v>1.5</v>
      </c>
      <c r="Q103">
        <v>30</v>
      </c>
      <c r="R103">
        <v>4</v>
      </c>
      <c r="S103">
        <v>163171</v>
      </c>
      <c r="T103">
        <v>163881</v>
      </c>
      <c r="U103">
        <f t="shared" si="7"/>
        <v>710</v>
      </c>
      <c r="V103">
        <v>1</v>
      </c>
    </row>
    <row r="104" spans="1:22" x14ac:dyDescent="0.25">
      <c r="A104">
        <v>103</v>
      </c>
      <c r="B104" t="s">
        <v>29</v>
      </c>
      <c r="C104" s="1">
        <v>46035</v>
      </c>
      <c r="D104" s="2">
        <v>0.4</v>
      </c>
      <c r="E104">
        <v>9.3710000000000004</v>
      </c>
      <c r="F104">
        <v>91.9</v>
      </c>
      <c r="G104">
        <v>10.53</v>
      </c>
      <c r="H104">
        <v>160.19999999999999</v>
      </c>
      <c r="I104">
        <v>104.14</v>
      </c>
      <c r="J104">
        <v>0.08</v>
      </c>
      <c r="K104">
        <v>7.75</v>
      </c>
      <c r="L104">
        <v>31.26</v>
      </c>
      <c r="M104">
        <v>0.3</v>
      </c>
      <c r="N104">
        <v>0.23</v>
      </c>
      <c r="O104">
        <v>22.48</v>
      </c>
      <c r="P104">
        <v>1</v>
      </c>
      <c r="Q104">
        <v>30</v>
      </c>
      <c r="R104">
        <v>4</v>
      </c>
      <c r="S104">
        <v>163888</v>
      </c>
      <c r="T104">
        <v>164527</v>
      </c>
      <c r="U104">
        <f t="shared" si="7"/>
        <v>639</v>
      </c>
      <c r="V104">
        <v>1</v>
      </c>
    </row>
    <row r="105" spans="1:22" x14ac:dyDescent="0.25">
      <c r="A105">
        <v>104</v>
      </c>
      <c r="B105" t="s">
        <v>30</v>
      </c>
      <c r="C105" s="1">
        <v>46035</v>
      </c>
      <c r="D105" s="2">
        <v>0.4236111111111111</v>
      </c>
      <c r="E105">
        <v>8.93</v>
      </c>
      <c r="F105">
        <v>76.5</v>
      </c>
      <c r="G105">
        <v>8.85</v>
      </c>
      <c r="H105">
        <v>299.2</v>
      </c>
      <c r="I105">
        <v>194.46799999999999</v>
      </c>
      <c r="J105">
        <v>0.14000000000000001</v>
      </c>
      <c r="K105">
        <v>7.66</v>
      </c>
      <c r="L105">
        <v>52.6</v>
      </c>
      <c r="M105">
        <v>0.47</v>
      </c>
      <c r="N105">
        <v>2.14</v>
      </c>
      <c r="O105">
        <v>57.94</v>
      </c>
      <c r="P105">
        <v>3.5</v>
      </c>
      <c r="Q105">
        <v>30</v>
      </c>
      <c r="R105">
        <v>4</v>
      </c>
      <c r="S105">
        <v>164522</v>
      </c>
      <c r="T105">
        <v>165230</v>
      </c>
      <c r="U105">
        <f t="shared" si="7"/>
        <v>708</v>
      </c>
      <c r="V105">
        <v>1</v>
      </c>
    </row>
    <row r="106" spans="1:22" x14ac:dyDescent="0.25">
      <c r="A106">
        <v>105</v>
      </c>
      <c r="B106" t="s">
        <v>44</v>
      </c>
      <c r="C106" s="1">
        <v>46035</v>
      </c>
      <c r="D106" s="2">
        <v>0.44027777777777777</v>
      </c>
      <c r="E106">
        <v>9.3339999999999996</v>
      </c>
      <c r="F106">
        <v>83.5</v>
      </c>
      <c r="G106">
        <v>9.57</v>
      </c>
      <c r="H106">
        <v>290.60000000000002</v>
      </c>
      <c r="I106">
        <v>188.88499999999999</v>
      </c>
      <c r="J106">
        <v>0.14000000000000001</v>
      </c>
      <c r="K106">
        <v>7.74</v>
      </c>
      <c r="L106">
        <v>42.81</v>
      </c>
      <c r="M106">
        <v>0.39</v>
      </c>
      <c r="N106">
        <v>1.48</v>
      </c>
      <c r="O106">
        <v>55.3</v>
      </c>
      <c r="P106">
        <v>3.5</v>
      </c>
      <c r="Q106">
        <v>30</v>
      </c>
      <c r="R106">
        <v>4</v>
      </c>
      <c r="S106">
        <v>165242</v>
      </c>
      <c r="T106">
        <v>165857</v>
      </c>
      <c r="U106">
        <f t="shared" si="7"/>
        <v>615</v>
      </c>
      <c r="V106">
        <v>1</v>
      </c>
    </row>
    <row r="107" spans="1:22" x14ac:dyDescent="0.25">
      <c r="A107">
        <v>106</v>
      </c>
      <c r="B107" t="s">
        <v>60</v>
      </c>
      <c r="C107" s="1">
        <v>46035</v>
      </c>
      <c r="D107" s="2">
        <v>0.45069444444444445</v>
      </c>
      <c r="E107">
        <v>10.141</v>
      </c>
      <c r="F107">
        <v>81.900000000000006</v>
      </c>
      <c r="G107">
        <v>9.2100000000000009</v>
      </c>
      <c r="H107">
        <v>255</v>
      </c>
      <c r="I107">
        <v>165.774</v>
      </c>
      <c r="J107">
        <v>0.12</v>
      </c>
      <c r="K107">
        <v>7.68</v>
      </c>
      <c r="L107">
        <v>44.74</v>
      </c>
      <c r="M107">
        <v>0.37</v>
      </c>
      <c r="N107">
        <v>1.26</v>
      </c>
      <c r="O107">
        <v>47.21</v>
      </c>
      <c r="P107" t="s">
        <v>24</v>
      </c>
      <c r="Q107" t="s">
        <v>24</v>
      </c>
      <c r="R107" t="s">
        <v>24</v>
      </c>
      <c r="S107" t="s">
        <v>24</v>
      </c>
      <c r="T107" t="s">
        <v>24</v>
      </c>
      <c r="U107" t="s">
        <v>24</v>
      </c>
      <c r="V107" t="s">
        <v>24</v>
      </c>
    </row>
    <row r="108" spans="1:22" x14ac:dyDescent="0.25">
      <c r="A108">
        <v>107</v>
      </c>
      <c r="B108" t="s">
        <v>56</v>
      </c>
      <c r="C108" s="1">
        <v>46035</v>
      </c>
      <c r="D108" s="2">
        <v>0.45833333333333331</v>
      </c>
      <c r="E108">
        <v>10.606</v>
      </c>
      <c r="F108">
        <v>77</v>
      </c>
      <c r="G108">
        <v>8.57</v>
      </c>
      <c r="H108">
        <v>140.6</v>
      </c>
      <c r="I108">
        <v>91.369</v>
      </c>
      <c r="J108">
        <v>7.0000000000000007E-2</v>
      </c>
      <c r="K108">
        <v>7.49</v>
      </c>
      <c r="L108">
        <v>25.54</v>
      </c>
      <c r="M108">
        <v>0.22</v>
      </c>
      <c r="N108">
        <v>0.34</v>
      </c>
      <c r="O108">
        <v>39.86</v>
      </c>
      <c r="P108">
        <v>3.5</v>
      </c>
      <c r="Q108">
        <v>30</v>
      </c>
      <c r="R108">
        <v>4</v>
      </c>
      <c r="S108">
        <v>165860</v>
      </c>
      <c r="T108">
        <v>166553</v>
      </c>
      <c r="U108">
        <f t="shared" si="7"/>
        <v>693</v>
      </c>
      <c r="V108">
        <v>1</v>
      </c>
    </row>
    <row r="109" spans="1:22" x14ac:dyDescent="0.25">
      <c r="A109">
        <v>108</v>
      </c>
      <c r="B109" t="s">
        <v>53</v>
      </c>
      <c r="C109" s="1">
        <v>46035</v>
      </c>
      <c r="D109" s="2">
        <v>0.47013888888888888</v>
      </c>
      <c r="E109">
        <v>11.435</v>
      </c>
      <c r="F109">
        <v>75.7</v>
      </c>
      <c r="G109">
        <v>8.24</v>
      </c>
      <c r="H109">
        <v>954</v>
      </c>
      <c r="I109">
        <v>620.05399999999997</v>
      </c>
      <c r="J109">
        <v>0.47</v>
      </c>
      <c r="K109">
        <v>7.77</v>
      </c>
      <c r="L109">
        <v>27.45</v>
      </c>
      <c r="M109">
        <v>0.24</v>
      </c>
      <c r="N109">
        <v>1.21</v>
      </c>
      <c r="O109">
        <v>62.91</v>
      </c>
      <c r="P109">
        <v>1.5</v>
      </c>
      <c r="Q109">
        <v>30</v>
      </c>
      <c r="R109">
        <v>4</v>
      </c>
      <c r="S109">
        <v>166546</v>
      </c>
      <c r="T109">
        <v>167223</v>
      </c>
      <c r="U109">
        <f t="shared" si="7"/>
        <v>677</v>
      </c>
      <c r="V109">
        <v>1</v>
      </c>
    </row>
    <row r="110" spans="1:22" x14ac:dyDescent="0.25">
      <c r="A110">
        <v>109</v>
      </c>
      <c r="B110" t="s">
        <v>31</v>
      </c>
      <c r="C110" s="1">
        <v>46035</v>
      </c>
      <c r="D110" s="2">
        <v>0.50138888888888888</v>
      </c>
      <c r="E110">
        <v>10.223000000000001</v>
      </c>
      <c r="F110">
        <v>74.099999999999994</v>
      </c>
      <c r="G110">
        <v>8.32</v>
      </c>
      <c r="H110">
        <v>248.9</v>
      </c>
      <c r="I110">
        <v>161.774</v>
      </c>
      <c r="J110">
        <v>0.12</v>
      </c>
      <c r="K110">
        <v>7.6</v>
      </c>
      <c r="L110">
        <v>39</v>
      </c>
      <c r="M110">
        <v>0.39</v>
      </c>
      <c r="N110">
        <v>1.38</v>
      </c>
      <c r="O110">
        <v>47.39</v>
      </c>
      <c r="P110">
        <v>3</v>
      </c>
      <c r="Q110">
        <v>30</v>
      </c>
      <c r="R110">
        <v>4</v>
      </c>
      <c r="S110">
        <v>167231</v>
      </c>
      <c r="T110">
        <v>167828</v>
      </c>
      <c r="U110">
        <f t="shared" si="7"/>
        <v>597</v>
      </c>
      <c r="V110">
        <v>1</v>
      </c>
    </row>
    <row r="111" spans="1:22" x14ac:dyDescent="0.25">
      <c r="A111">
        <v>110</v>
      </c>
      <c r="B111" t="s">
        <v>32</v>
      </c>
      <c r="C111" s="1">
        <v>46035</v>
      </c>
      <c r="D111" s="2">
        <v>0.51875000000000004</v>
      </c>
      <c r="E111">
        <v>10.403</v>
      </c>
      <c r="F111">
        <v>75.099999999999994</v>
      </c>
      <c r="G111">
        <v>8.4</v>
      </c>
      <c r="H111">
        <v>216.7</v>
      </c>
      <c r="I111">
        <v>140.85</v>
      </c>
      <c r="J111">
        <v>0.1</v>
      </c>
      <c r="K111">
        <v>7.53</v>
      </c>
      <c r="L111">
        <v>38.880000000000003</v>
      </c>
      <c r="M111">
        <v>0.33</v>
      </c>
      <c r="N111">
        <v>0.98</v>
      </c>
      <c r="O111">
        <v>42.39</v>
      </c>
      <c r="P111">
        <v>3</v>
      </c>
      <c r="Q111">
        <v>30</v>
      </c>
      <c r="R111">
        <v>4</v>
      </c>
      <c r="S111">
        <v>167830</v>
      </c>
      <c r="T111">
        <v>168485</v>
      </c>
      <c r="U111">
        <f t="shared" si="7"/>
        <v>655</v>
      </c>
      <c r="V111">
        <v>1</v>
      </c>
    </row>
    <row r="112" spans="1:22" x14ac:dyDescent="0.25">
      <c r="A112">
        <v>111</v>
      </c>
      <c r="B112" t="s">
        <v>33</v>
      </c>
      <c r="C112" s="1">
        <v>46035</v>
      </c>
      <c r="D112" s="2">
        <v>0.54583333333333328</v>
      </c>
      <c r="E112">
        <v>10.558</v>
      </c>
      <c r="F112">
        <v>68.900000000000006</v>
      </c>
      <c r="G112">
        <v>7.67</v>
      </c>
      <c r="H112">
        <v>160.9</v>
      </c>
      <c r="I112">
        <v>104.604</v>
      </c>
      <c r="J112">
        <v>0.08</v>
      </c>
      <c r="K112">
        <v>7.4</v>
      </c>
      <c r="L112">
        <v>35.869999999999997</v>
      </c>
      <c r="M112">
        <v>0.23</v>
      </c>
      <c r="N112">
        <v>0.52</v>
      </c>
      <c r="O112">
        <v>36.020000000000003</v>
      </c>
      <c r="P112">
        <v>3</v>
      </c>
      <c r="Q112">
        <v>30</v>
      </c>
      <c r="R112">
        <v>4</v>
      </c>
      <c r="S112">
        <v>168484</v>
      </c>
      <c r="T112">
        <v>169177</v>
      </c>
      <c r="U112">
        <f t="shared" si="7"/>
        <v>693</v>
      </c>
      <c r="V112">
        <v>1</v>
      </c>
    </row>
    <row r="113" spans="1:25" x14ac:dyDescent="0.25">
      <c r="A113">
        <v>112</v>
      </c>
      <c r="B113" t="s">
        <v>41</v>
      </c>
      <c r="C113" s="1">
        <v>46035</v>
      </c>
      <c r="D113" s="2">
        <v>0.37986111111111109</v>
      </c>
      <c r="E113">
        <v>9.0399999999999991</v>
      </c>
      <c r="F113">
        <v>60.8</v>
      </c>
      <c r="G113">
        <v>7.02</v>
      </c>
      <c r="H113">
        <v>361.6</v>
      </c>
      <c r="I113">
        <v>235.04300000000001</v>
      </c>
      <c r="J113">
        <v>0.17</v>
      </c>
      <c r="K113">
        <v>7.54</v>
      </c>
      <c r="L113">
        <v>54.81</v>
      </c>
      <c r="M113">
        <v>0.33</v>
      </c>
      <c r="N113">
        <v>4.1100000000000003</v>
      </c>
      <c r="O113">
        <v>69.38</v>
      </c>
      <c r="P113">
        <v>3.5</v>
      </c>
      <c r="Q113">
        <v>30</v>
      </c>
      <c r="R113">
        <v>4</v>
      </c>
      <c r="S113">
        <v>131681</v>
      </c>
      <c r="T113">
        <v>132056</v>
      </c>
      <c r="U113">
        <f t="shared" si="7"/>
        <v>375</v>
      </c>
      <c r="V113">
        <v>1</v>
      </c>
      <c r="Y113" t="s">
        <v>65</v>
      </c>
    </row>
    <row r="114" spans="1:25" x14ac:dyDescent="0.25">
      <c r="A114">
        <v>113</v>
      </c>
      <c r="B114" t="s">
        <v>42</v>
      </c>
      <c r="C114" s="1">
        <v>46035</v>
      </c>
      <c r="D114" s="2">
        <v>0.41736111111111113</v>
      </c>
      <c r="E114">
        <v>9.2309999999999999</v>
      </c>
      <c r="F114">
        <v>60.2</v>
      </c>
      <c r="G114">
        <v>6.91</v>
      </c>
      <c r="H114">
        <v>360.8</v>
      </c>
      <c r="I114">
        <v>234.55199999999999</v>
      </c>
      <c r="J114">
        <v>0.17</v>
      </c>
      <c r="K114">
        <v>7.54</v>
      </c>
      <c r="L114">
        <v>49.33</v>
      </c>
      <c r="M114">
        <v>0.52</v>
      </c>
      <c r="N114">
        <v>8.9</v>
      </c>
      <c r="O114">
        <v>70.66</v>
      </c>
      <c r="P114" t="s">
        <v>24</v>
      </c>
      <c r="Q114" t="s">
        <v>24</v>
      </c>
      <c r="R114" t="s">
        <v>24</v>
      </c>
      <c r="S114" t="s">
        <v>24</v>
      </c>
      <c r="T114" t="s">
        <v>24</v>
      </c>
      <c r="U114" t="s">
        <v>24</v>
      </c>
      <c r="V114" t="s">
        <v>24</v>
      </c>
    </row>
    <row r="115" spans="1:25" x14ac:dyDescent="0.25">
      <c r="A115">
        <v>114</v>
      </c>
      <c r="B115" t="s">
        <v>36</v>
      </c>
      <c r="C115" s="1">
        <v>46035</v>
      </c>
      <c r="D115" s="2">
        <v>0.48888888888888887</v>
      </c>
      <c r="E115">
        <v>10.124000000000001</v>
      </c>
      <c r="F115">
        <v>64</v>
      </c>
      <c r="G115">
        <v>7.19</v>
      </c>
      <c r="H115">
        <v>169.3</v>
      </c>
      <c r="I115">
        <v>110.04900000000001</v>
      </c>
      <c r="J115">
        <v>0.08</v>
      </c>
      <c r="K115">
        <v>7.23</v>
      </c>
      <c r="L115">
        <v>32.11</v>
      </c>
      <c r="M115">
        <v>0.19</v>
      </c>
      <c r="N115">
        <v>0.19</v>
      </c>
      <c r="O115">
        <v>37.61</v>
      </c>
      <c r="P115">
        <v>1.5</v>
      </c>
      <c r="Q115">
        <v>30</v>
      </c>
      <c r="R115">
        <v>4</v>
      </c>
      <c r="S115">
        <v>132605</v>
      </c>
      <c r="T115">
        <v>133001</v>
      </c>
      <c r="U115">
        <f t="shared" si="7"/>
        <v>396</v>
      </c>
      <c r="V115">
        <v>1</v>
      </c>
      <c r="Y115" t="s">
        <v>65</v>
      </c>
    </row>
    <row r="116" spans="1:25" x14ac:dyDescent="0.25">
      <c r="A116">
        <v>115</v>
      </c>
      <c r="B116" t="s">
        <v>34</v>
      </c>
      <c r="C116" s="1">
        <v>46035</v>
      </c>
      <c r="D116" s="2">
        <v>0.54236111111111107</v>
      </c>
      <c r="E116">
        <v>10.526999999999999</v>
      </c>
      <c r="F116">
        <v>66</v>
      </c>
      <c r="G116">
        <v>7.36</v>
      </c>
      <c r="H116">
        <v>158.1</v>
      </c>
      <c r="I116">
        <v>102.779</v>
      </c>
      <c r="J116">
        <v>7.0000000000000007E-2</v>
      </c>
      <c r="K116">
        <v>7.29</v>
      </c>
      <c r="L116">
        <v>31.42</v>
      </c>
      <c r="M116">
        <v>0.19</v>
      </c>
      <c r="N116">
        <v>0.19</v>
      </c>
      <c r="O116">
        <v>35</v>
      </c>
      <c r="P116">
        <v>1.5</v>
      </c>
      <c r="Q116">
        <v>30</v>
      </c>
      <c r="R116">
        <v>4</v>
      </c>
      <c r="S116">
        <v>132997</v>
      </c>
      <c r="T116">
        <v>133209</v>
      </c>
      <c r="U116">
        <f t="shared" si="7"/>
        <v>212</v>
      </c>
      <c r="V116">
        <v>1</v>
      </c>
      <c r="Y116" t="s">
        <v>64</v>
      </c>
    </row>
    <row r="117" spans="1:25" x14ac:dyDescent="0.25">
      <c r="A117">
        <v>116</v>
      </c>
      <c r="B117" t="s">
        <v>45</v>
      </c>
      <c r="C117" s="1">
        <v>46042</v>
      </c>
      <c r="D117" s="2">
        <v>0.35208333333333336</v>
      </c>
      <c r="E117">
        <v>9.5229999999999997</v>
      </c>
      <c r="F117">
        <v>112.3</v>
      </c>
      <c r="G117">
        <v>12.8</v>
      </c>
      <c r="H117">
        <v>514</v>
      </c>
      <c r="I117">
        <v>334.11599999999999</v>
      </c>
      <c r="J117">
        <v>0.25</v>
      </c>
      <c r="K117">
        <v>8.74</v>
      </c>
      <c r="L117">
        <v>8.5299999999999994</v>
      </c>
      <c r="M117">
        <v>0.92</v>
      </c>
      <c r="N117">
        <v>31.14</v>
      </c>
      <c r="O117">
        <v>33.33</v>
      </c>
      <c r="P117">
        <v>2</v>
      </c>
      <c r="Q117">
        <v>30</v>
      </c>
      <c r="R117">
        <v>4</v>
      </c>
      <c r="S117">
        <v>169207</v>
      </c>
      <c r="T117">
        <v>169773</v>
      </c>
      <c r="U117">
        <f t="shared" si="7"/>
        <v>566</v>
      </c>
      <c r="V117">
        <v>1</v>
      </c>
    </row>
    <row r="118" spans="1:25" x14ac:dyDescent="0.25">
      <c r="A118">
        <v>117</v>
      </c>
      <c r="B118" t="s">
        <v>27</v>
      </c>
      <c r="C118" s="1">
        <v>46042</v>
      </c>
      <c r="D118" s="2">
        <v>0.38124999999999998</v>
      </c>
      <c r="E118">
        <v>10.260999999999999</v>
      </c>
      <c r="F118">
        <v>96.3</v>
      </c>
      <c r="G118">
        <v>10.8</v>
      </c>
      <c r="H118">
        <v>158.6</v>
      </c>
      <c r="I118">
        <v>103.06100000000001</v>
      </c>
      <c r="J118">
        <v>0.08</v>
      </c>
      <c r="K118">
        <v>7.83</v>
      </c>
      <c r="L118">
        <v>13.3</v>
      </c>
      <c r="M118">
        <v>0.17</v>
      </c>
      <c r="N118">
        <v>1.81</v>
      </c>
      <c r="O118">
        <v>15.3</v>
      </c>
      <c r="P118">
        <v>2</v>
      </c>
      <c r="Q118">
        <v>30</v>
      </c>
      <c r="R118">
        <v>4</v>
      </c>
      <c r="S118">
        <v>169765</v>
      </c>
      <c r="T118">
        <v>170391</v>
      </c>
      <c r="U118">
        <f t="shared" si="7"/>
        <v>626</v>
      </c>
      <c r="V118">
        <v>1</v>
      </c>
    </row>
    <row r="119" spans="1:25" x14ac:dyDescent="0.25">
      <c r="A119">
        <v>118</v>
      </c>
      <c r="B119" t="s">
        <v>29</v>
      </c>
      <c r="C119" s="1">
        <v>46042</v>
      </c>
      <c r="D119" s="2">
        <v>0.39374999999999999</v>
      </c>
      <c r="E119">
        <v>9.9570000000000007</v>
      </c>
      <c r="F119">
        <v>72.7</v>
      </c>
      <c r="G119">
        <v>8.2100000000000009</v>
      </c>
      <c r="H119">
        <v>200</v>
      </c>
      <c r="I119">
        <v>130.01300000000001</v>
      </c>
      <c r="J119">
        <v>0.1</v>
      </c>
      <c r="K119">
        <v>7.39</v>
      </c>
      <c r="L119">
        <v>13.93</v>
      </c>
      <c r="M119">
        <v>0.23</v>
      </c>
      <c r="N119">
        <v>3.65</v>
      </c>
      <c r="O119">
        <v>25.56</v>
      </c>
      <c r="P119">
        <v>1.5</v>
      </c>
      <c r="Q119">
        <v>30</v>
      </c>
      <c r="R119">
        <v>4</v>
      </c>
      <c r="S119">
        <v>170398</v>
      </c>
      <c r="T119">
        <v>171033</v>
      </c>
      <c r="U119">
        <f t="shared" si="7"/>
        <v>635</v>
      </c>
      <c r="V119">
        <v>1</v>
      </c>
    </row>
    <row r="120" spans="1:25" x14ac:dyDescent="0.25">
      <c r="A120">
        <v>119</v>
      </c>
      <c r="B120" t="s">
        <v>30</v>
      </c>
      <c r="C120" s="1">
        <v>46042</v>
      </c>
      <c r="D120" s="2">
        <v>0.41736111111111113</v>
      </c>
      <c r="E120">
        <v>10.103999999999999</v>
      </c>
      <c r="F120">
        <v>70</v>
      </c>
      <c r="G120">
        <v>7.87</v>
      </c>
      <c r="H120">
        <v>456.2</v>
      </c>
      <c r="I120">
        <v>296.54700000000003</v>
      </c>
      <c r="J120">
        <v>0.22</v>
      </c>
      <c r="K120">
        <v>7.64</v>
      </c>
      <c r="L120">
        <v>32.96</v>
      </c>
      <c r="M120">
        <v>0.43</v>
      </c>
      <c r="N120">
        <v>7.6</v>
      </c>
      <c r="O120">
        <v>69.44</v>
      </c>
      <c r="P120">
        <v>4</v>
      </c>
      <c r="Q120">
        <v>30</v>
      </c>
      <c r="R120">
        <v>4</v>
      </c>
      <c r="S120">
        <v>171033</v>
      </c>
      <c r="T120">
        <v>171598</v>
      </c>
      <c r="U120">
        <f t="shared" si="7"/>
        <v>565</v>
      </c>
      <c r="V120">
        <v>1</v>
      </c>
    </row>
    <row r="121" spans="1:25" x14ac:dyDescent="0.25">
      <c r="A121">
        <v>120</v>
      </c>
      <c r="B121" t="s">
        <v>44</v>
      </c>
      <c r="C121" s="1">
        <v>46042</v>
      </c>
      <c r="D121" s="2">
        <v>0.43472222222222223</v>
      </c>
      <c r="E121">
        <v>9.7149999999999999</v>
      </c>
      <c r="F121">
        <v>85.9</v>
      </c>
      <c r="G121">
        <v>9.75</v>
      </c>
      <c r="H121">
        <v>436.7</v>
      </c>
      <c r="I121">
        <v>283.88099999999997</v>
      </c>
      <c r="J121">
        <v>0.21</v>
      </c>
      <c r="K121">
        <v>7.91</v>
      </c>
      <c r="L121">
        <v>26.14</v>
      </c>
      <c r="M121">
        <v>0.66</v>
      </c>
      <c r="N121">
        <v>13.52</v>
      </c>
      <c r="O121">
        <v>69.45</v>
      </c>
      <c r="P121">
        <v>3.5</v>
      </c>
      <c r="Q121">
        <v>30</v>
      </c>
      <c r="R121">
        <v>4</v>
      </c>
      <c r="S121">
        <v>171598</v>
      </c>
      <c r="T121">
        <v>172234</v>
      </c>
      <c r="U121">
        <f t="shared" si="7"/>
        <v>636</v>
      </c>
      <c r="V121">
        <v>1</v>
      </c>
    </row>
    <row r="122" spans="1:25" x14ac:dyDescent="0.25">
      <c r="A122">
        <v>121</v>
      </c>
      <c r="B122" t="s">
        <v>56</v>
      </c>
      <c r="C122" s="1">
        <v>46042</v>
      </c>
      <c r="D122" s="2">
        <v>0.44930555555555557</v>
      </c>
      <c r="E122">
        <v>10.413</v>
      </c>
      <c r="F122">
        <v>82.3</v>
      </c>
      <c r="G122">
        <v>9.1999999999999993</v>
      </c>
      <c r="H122">
        <v>202.8</v>
      </c>
      <c r="I122">
        <v>131.80199999999999</v>
      </c>
      <c r="J122">
        <v>0.1</v>
      </c>
      <c r="K122">
        <v>7.54</v>
      </c>
      <c r="L122">
        <v>13.4</v>
      </c>
      <c r="M122">
        <v>1</v>
      </c>
      <c r="N122">
        <v>22.03</v>
      </c>
      <c r="O122">
        <v>39.28</v>
      </c>
      <c r="P122">
        <v>4.5</v>
      </c>
      <c r="Q122">
        <v>30</v>
      </c>
      <c r="R122">
        <v>4</v>
      </c>
      <c r="S122">
        <v>172234</v>
      </c>
      <c r="T122">
        <v>172900</v>
      </c>
      <c r="U122">
        <f t="shared" si="7"/>
        <v>666</v>
      </c>
      <c r="V122">
        <v>1</v>
      </c>
      <c r="X122">
        <v>1</v>
      </c>
    </row>
    <row r="123" spans="1:25" x14ac:dyDescent="0.25">
      <c r="A123">
        <v>122</v>
      </c>
      <c r="B123" t="s">
        <v>31</v>
      </c>
      <c r="C123" s="1">
        <v>46042</v>
      </c>
      <c r="D123" s="2">
        <v>0.50208333333333333</v>
      </c>
      <c r="E123">
        <v>10.234999999999999</v>
      </c>
      <c r="F123">
        <v>73.3</v>
      </c>
      <c r="G123">
        <v>8.2200000000000006</v>
      </c>
      <c r="H123">
        <v>425.9</v>
      </c>
      <c r="I123">
        <v>276.83</v>
      </c>
      <c r="J123">
        <v>0.21</v>
      </c>
      <c r="K123">
        <v>7.71</v>
      </c>
      <c r="L123">
        <v>24.43</v>
      </c>
      <c r="M123">
        <v>0.52</v>
      </c>
      <c r="N123">
        <v>12.9</v>
      </c>
      <c r="O123">
        <v>67.64</v>
      </c>
      <c r="P123">
        <v>3</v>
      </c>
      <c r="Q123">
        <v>30</v>
      </c>
      <c r="R123">
        <v>4</v>
      </c>
      <c r="S123">
        <v>173313</v>
      </c>
      <c r="T123">
        <v>173970</v>
      </c>
      <c r="U123">
        <f t="shared" si="7"/>
        <v>657</v>
      </c>
      <c r="V123">
        <v>1</v>
      </c>
    </row>
    <row r="124" spans="1:25" x14ac:dyDescent="0.25">
      <c r="A124">
        <v>123</v>
      </c>
      <c r="B124" t="s">
        <v>32</v>
      </c>
      <c r="C124" s="1">
        <v>46042</v>
      </c>
      <c r="D124" s="2">
        <v>0.52013888888888893</v>
      </c>
      <c r="E124">
        <v>10.194000000000001</v>
      </c>
      <c r="F124">
        <v>72.3</v>
      </c>
      <c r="G124">
        <v>8.11</v>
      </c>
      <c r="H124">
        <v>417.6</v>
      </c>
      <c r="I124">
        <v>271.38</v>
      </c>
      <c r="J124">
        <v>0.2</v>
      </c>
      <c r="K124">
        <v>7.67</v>
      </c>
      <c r="L124">
        <v>23.9</v>
      </c>
      <c r="M124">
        <v>0.65</v>
      </c>
      <c r="N124">
        <v>15.91</v>
      </c>
      <c r="O124">
        <v>66.27</v>
      </c>
      <c r="P124">
        <v>3.5</v>
      </c>
      <c r="Q124">
        <v>30</v>
      </c>
      <c r="R124">
        <v>4</v>
      </c>
      <c r="S124">
        <v>173978</v>
      </c>
      <c r="T124">
        <v>174660</v>
      </c>
      <c r="U124">
        <f t="shared" si="7"/>
        <v>682</v>
      </c>
      <c r="V124">
        <v>1</v>
      </c>
    </row>
    <row r="125" spans="1:25" x14ac:dyDescent="0.25">
      <c r="A125">
        <v>124</v>
      </c>
      <c r="B125" t="s">
        <v>33</v>
      </c>
      <c r="C125" s="1">
        <v>46042</v>
      </c>
      <c r="D125" s="2">
        <v>0.55138888888888893</v>
      </c>
      <c r="E125">
        <v>10.224</v>
      </c>
      <c r="F125">
        <v>65.3</v>
      </c>
      <c r="G125">
        <v>7.33</v>
      </c>
      <c r="H125">
        <v>398.6</v>
      </c>
      <c r="I125">
        <v>259.077</v>
      </c>
      <c r="J125">
        <v>0.19</v>
      </c>
      <c r="K125">
        <v>7.58</v>
      </c>
      <c r="L125">
        <v>24.17</v>
      </c>
      <c r="M125">
        <v>0.72</v>
      </c>
      <c r="N125">
        <v>17.149999999999999</v>
      </c>
      <c r="O125">
        <v>67.89</v>
      </c>
      <c r="P125">
        <v>3.5</v>
      </c>
      <c r="Q125">
        <v>30</v>
      </c>
      <c r="R125">
        <v>4</v>
      </c>
      <c r="S125">
        <v>174660</v>
      </c>
      <c r="T125">
        <v>175295</v>
      </c>
      <c r="U125">
        <f t="shared" si="7"/>
        <v>635</v>
      </c>
      <c r="V125">
        <v>1</v>
      </c>
      <c r="X125">
        <v>1</v>
      </c>
    </row>
    <row r="126" spans="1:25" x14ac:dyDescent="0.25">
      <c r="A126">
        <v>125</v>
      </c>
      <c r="B126" t="s">
        <v>41</v>
      </c>
      <c r="C126" s="1">
        <v>46042</v>
      </c>
      <c r="D126" s="2">
        <v>0.3888888888888889</v>
      </c>
      <c r="E126">
        <v>9.9169999999999998</v>
      </c>
      <c r="F126">
        <v>59.3</v>
      </c>
      <c r="G126">
        <v>6.69</v>
      </c>
      <c r="H126">
        <v>449.7</v>
      </c>
      <c r="I126">
        <v>292.31900000000002</v>
      </c>
      <c r="J126">
        <v>0.22</v>
      </c>
      <c r="K126">
        <v>7.59</v>
      </c>
      <c r="L126">
        <v>32.450000000000003</v>
      </c>
      <c r="M126">
        <v>0.75</v>
      </c>
      <c r="N126">
        <v>8.91</v>
      </c>
      <c r="O126">
        <v>74.55</v>
      </c>
      <c r="P126">
        <v>3</v>
      </c>
      <c r="Q126">
        <v>30</v>
      </c>
      <c r="R126">
        <v>4</v>
      </c>
      <c r="S126">
        <v>10</v>
      </c>
      <c r="T126">
        <v>588</v>
      </c>
      <c r="U126">
        <f t="shared" si="7"/>
        <v>578</v>
      </c>
      <c r="V126">
        <v>1</v>
      </c>
      <c r="X126">
        <v>1</v>
      </c>
    </row>
    <row r="127" spans="1:25" x14ac:dyDescent="0.25">
      <c r="A127">
        <v>126</v>
      </c>
      <c r="B127" t="s">
        <v>42</v>
      </c>
      <c r="C127" s="1">
        <v>46042</v>
      </c>
      <c r="D127" s="2">
        <v>0.43333333333333335</v>
      </c>
      <c r="E127">
        <v>10.461</v>
      </c>
      <c r="F127">
        <v>59.4</v>
      </c>
      <c r="G127">
        <v>6.62</v>
      </c>
      <c r="H127">
        <v>463.6</v>
      </c>
      <c r="I127">
        <v>301.387</v>
      </c>
      <c r="J127">
        <v>0.22</v>
      </c>
      <c r="K127">
        <v>7.62</v>
      </c>
      <c r="L127">
        <v>27.04</v>
      </c>
      <c r="M127">
        <v>0.19</v>
      </c>
      <c r="N127">
        <v>26.8</v>
      </c>
      <c r="O127">
        <v>75.459999999999994</v>
      </c>
      <c r="P127" t="s">
        <v>24</v>
      </c>
      <c r="Q127" t="s">
        <v>24</v>
      </c>
      <c r="R127" t="s">
        <v>24</v>
      </c>
      <c r="S127" t="s">
        <v>24</v>
      </c>
      <c r="T127" t="s">
        <v>24</v>
      </c>
      <c r="U127" t="s">
        <v>24</v>
      </c>
      <c r="V127" t="s">
        <v>24</v>
      </c>
      <c r="X127">
        <v>1</v>
      </c>
    </row>
    <row r="128" spans="1:25" x14ac:dyDescent="0.25">
      <c r="A128">
        <v>127</v>
      </c>
      <c r="B128" t="s">
        <v>61</v>
      </c>
      <c r="C128" s="1">
        <v>46042</v>
      </c>
      <c r="D128" s="2">
        <v>0.48472222222222222</v>
      </c>
      <c r="E128">
        <v>9.9489999999999998</v>
      </c>
      <c r="F128">
        <v>98</v>
      </c>
      <c r="G128">
        <v>11.07</v>
      </c>
      <c r="H128">
        <v>271.60000000000002</v>
      </c>
      <c r="I128">
        <v>176.58199999999999</v>
      </c>
      <c r="J128">
        <v>0.13</v>
      </c>
      <c r="K128">
        <v>7.81</v>
      </c>
      <c r="L128">
        <v>68.47</v>
      </c>
      <c r="M128">
        <v>1.1100000000000001</v>
      </c>
      <c r="N128">
        <v>20.93</v>
      </c>
      <c r="O128">
        <v>39.01</v>
      </c>
      <c r="P128">
        <v>5</v>
      </c>
      <c r="Q128">
        <v>15</v>
      </c>
      <c r="R128">
        <v>4</v>
      </c>
      <c r="S128" t="s">
        <v>24</v>
      </c>
      <c r="T128" t="s">
        <v>24</v>
      </c>
      <c r="U128" t="s">
        <v>24</v>
      </c>
      <c r="V128">
        <v>1</v>
      </c>
      <c r="X128">
        <v>1</v>
      </c>
    </row>
    <row r="129" spans="1:24" x14ac:dyDescent="0.25">
      <c r="A129">
        <v>128</v>
      </c>
      <c r="B129" t="s">
        <v>34</v>
      </c>
      <c r="C129" s="1">
        <v>46042</v>
      </c>
      <c r="D129" s="2">
        <v>0.56944444444444442</v>
      </c>
      <c r="E129">
        <v>10.601000000000001</v>
      </c>
      <c r="F129">
        <v>43.2</v>
      </c>
      <c r="G129">
        <v>4.8</v>
      </c>
      <c r="H129">
        <v>340.2</v>
      </c>
      <c r="I129">
        <v>220.69200000000001</v>
      </c>
      <c r="J129">
        <v>0.16</v>
      </c>
      <c r="K129">
        <v>7.26</v>
      </c>
      <c r="L129">
        <v>21.66</v>
      </c>
      <c r="M129">
        <v>1.02</v>
      </c>
      <c r="N129">
        <v>13.47</v>
      </c>
      <c r="O129">
        <v>67.91</v>
      </c>
      <c r="P129">
        <v>4</v>
      </c>
      <c r="Q129">
        <v>30</v>
      </c>
      <c r="R129">
        <v>4</v>
      </c>
      <c r="S129">
        <v>6026</v>
      </c>
      <c r="T129">
        <v>6638</v>
      </c>
      <c r="U129">
        <f t="shared" si="7"/>
        <v>612</v>
      </c>
      <c r="V129">
        <v>1</v>
      </c>
      <c r="X129">
        <v>1</v>
      </c>
    </row>
    <row r="130" spans="1:24" x14ac:dyDescent="0.25">
      <c r="A130">
        <v>129</v>
      </c>
      <c r="B130" t="s">
        <v>36</v>
      </c>
      <c r="C130" s="1">
        <v>46042</v>
      </c>
      <c r="D130" s="2">
        <v>0.61875000000000002</v>
      </c>
      <c r="E130">
        <v>10.725</v>
      </c>
      <c r="F130">
        <v>68.599999999999994</v>
      </c>
      <c r="G130">
        <v>7.6</v>
      </c>
      <c r="H130">
        <v>345.5</v>
      </c>
      <c r="I130">
        <v>224.583</v>
      </c>
      <c r="J130">
        <v>0.17</v>
      </c>
      <c r="K130">
        <v>7.54</v>
      </c>
      <c r="L130">
        <v>22</v>
      </c>
      <c r="M130">
        <v>0.83</v>
      </c>
      <c r="N130">
        <v>10.89</v>
      </c>
      <c r="O130">
        <v>65.08</v>
      </c>
      <c r="P130">
        <v>3.5</v>
      </c>
      <c r="Q130">
        <v>30</v>
      </c>
      <c r="R130">
        <v>4</v>
      </c>
      <c r="S130">
        <v>8185</v>
      </c>
      <c r="T130">
        <v>8787</v>
      </c>
      <c r="U130">
        <f t="shared" si="7"/>
        <v>602</v>
      </c>
      <c r="V130">
        <v>1</v>
      </c>
    </row>
    <row r="131" spans="1:24" x14ac:dyDescent="0.25">
      <c r="A131">
        <v>130</v>
      </c>
      <c r="B131" t="s">
        <v>45</v>
      </c>
      <c r="C131" s="1">
        <v>46049</v>
      </c>
      <c r="D131" s="2">
        <v>0.36805555555555558</v>
      </c>
      <c r="E131">
        <v>9.85</v>
      </c>
      <c r="F131">
        <v>91.3</v>
      </c>
      <c r="G131">
        <v>10.32</v>
      </c>
      <c r="H131">
        <v>736</v>
      </c>
      <c r="I131">
        <v>478.584</v>
      </c>
      <c r="J131">
        <v>0.36</v>
      </c>
      <c r="K131">
        <v>8.2899999999999991</v>
      </c>
      <c r="L131">
        <v>32.93</v>
      </c>
      <c r="M131">
        <v>1.39</v>
      </c>
      <c r="N131">
        <v>38.619999999999997</v>
      </c>
      <c r="O131">
        <v>31.51</v>
      </c>
      <c r="P131">
        <v>3.5</v>
      </c>
      <c r="Q131">
        <v>30</v>
      </c>
      <c r="R131">
        <v>4</v>
      </c>
      <c r="S131">
        <v>12842</v>
      </c>
      <c r="T131">
        <v>13501</v>
      </c>
      <c r="U131">
        <f t="shared" si="7"/>
        <v>659</v>
      </c>
      <c r="V131">
        <v>1</v>
      </c>
    </row>
    <row r="132" spans="1:24" x14ac:dyDescent="0.25">
      <c r="A132">
        <v>131</v>
      </c>
      <c r="B132" t="s">
        <v>27</v>
      </c>
      <c r="C132" s="1">
        <v>46049</v>
      </c>
      <c r="D132" s="2">
        <v>0.39374999999999999</v>
      </c>
      <c r="E132">
        <v>9.8130000000000006</v>
      </c>
      <c r="F132">
        <v>92.4</v>
      </c>
      <c r="G132">
        <v>10.48</v>
      </c>
      <c r="H132">
        <v>167.9</v>
      </c>
      <c r="I132">
        <v>109.167</v>
      </c>
      <c r="J132">
        <v>0.08</v>
      </c>
      <c r="K132">
        <v>7.89</v>
      </c>
      <c r="L132">
        <v>12.86</v>
      </c>
      <c r="M132">
        <v>0.21</v>
      </c>
      <c r="N132">
        <v>1.1100000000000001</v>
      </c>
      <c r="O132">
        <v>16.73</v>
      </c>
      <c r="P132">
        <v>2</v>
      </c>
      <c r="Q132">
        <v>30</v>
      </c>
      <c r="R132">
        <v>4</v>
      </c>
      <c r="S132">
        <v>13501</v>
      </c>
      <c r="T132">
        <v>14135</v>
      </c>
      <c r="U132">
        <f t="shared" si="7"/>
        <v>634</v>
      </c>
      <c r="V132">
        <v>1</v>
      </c>
    </row>
    <row r="133" spans="1:24" x14ac:dyDescent="0.25">
      <c r="A133">
        <v>132</v>
      </c>
      <c r="B133" t="s">
        <v>29</v>
      </c>
      <c r="C133" s="1">
        <v>46049</v>
      </c>
      <c r="D133" s="2">
        <v>0.40625</v>
      </c>
      <c r="E133">
        <v>10.066000000000001</v>
      </c>
      <c r="F133">
        <v>94</v>
      </c>
      <c r="G133">
        <v>10.58</v>
      </c>
      <c r="H133">
        <v>322.10000000000002</v>
      </c>
      <c r="I133">
        <v>209.36799999999999</v>
      </c>
      <c r="J133">
        <v>0.15</v>
      </c>
      <c r="K133">
        <v>7.8</v>
      </c>
      <c r="L133">
        <v>9.26</v>
      </c>
      <c r="M133">
        <v>0.67</v>
      </c>
      <c r="N133">
        <v>10.46</v>
      </c>
      <c r="O133">
        <v>33.049999999999997</v>
      </c>
      <c r="P133">
        <v>1.5</v>
      </c>
      <c r="Q133">
        <v>30</v>
      </c>
      <c r="R133">
        <v>4</v>
      </c>
      <c r="S133">
        <v>14135</v>
      </c>
      <c r="T133">
        <v>14793</v>
      </c>
      <c r="U133">
        <f t="shared" si="7"/>
        <v>658</v>
      </c>
      <c r="V133">
        <v>1</v>
      </c>
    </row>
    <row r="134" spans="1:24" x14ac:dyDescent="0.25">
      <c r="A134">
        <v>133</v>
      </c>
      <c r="B134" t="s">
        <v>30</v>
      </c>
      <c r="C134" s="1">
        <v>46049</v>
      </c>
      <c r="D134" s="2">
        <v>0.42986111111111114</v>
      </c>
      <c r="E134">
        <v>9.9670000000000005</v>
      </c>
      <c r="F134">
        <v>69.400000000000006</v>
      </c>
      <c r="G134">
        <v>7.82</v>
      </c>
      <c r="H134">
        <v>596</v>
      </c>
      <c r="I134">
        <v>387.47800000000001</v>
      </c>
      <c r="J134">
        <v>0.28999999999999998</v>
      </c>
      <c r="K134">
        <v>7.81</v>
      </c>
      <c r="L134">
        <v>25.61</v>
      </c>
      <c r="M134">
        <v>0.59</v>
      </c>
      <c r="N134">
        <v>7.37</v>
      </c>
      <c r="O134">
        <v>76.28</v>
      </c>
      <c r="P134">
        <v>4.5</v>
      </c>
      <c r="Q134">
        <v>30</v>
      </c>
      <c r="R134">
        <v>4</v>
      </c>
      <c r="S134">
        <v>14793</v>
      </c>
      <c r="T134">
        <v>15583</v>
      </c>
      <c r="U134">
        <f t="shared" si="7"/>
        <v>790</v>
      </c>
      <c r="V134">
        <v>1</v>
      </c>
    </row>
    <row r="135" spans="1:24" x14ac:dyDescent="0.25">
      <c r="A135">
        <v>134</v>
      </c>
      <c r="B135" t="s">
        <v>44</v>
      </c>
      <c r="C135" s="1">
        <v>46049</v>
      </c>
      <c r="D135" s="2">
        <v>0.45555555555555555</v>
      </c>
      <c r="E135">
        <v>10.141999999999999</v>
      </c>
      <c r="F135">
        <v>108.1</v>
      </c>
      <c r="G135">
        <v>12.15</v>
      </c>
      <c r="H135">
        <v>552</v>
      </c>
      <c r="I135">
        <v>358.88799999999998</v>
      </c>
      <c r="J135">
        <v>0.27</v>
      </c>
      <c r="K135">
        <v>8.4600000000000009</v>
      </c>
      <c r="L135">
        <v>14.85</v>
      </c>
      <c r="M135">
        <v>0.73</v>
      </c>
      <c r="N135">
        <v>11.81</v>
      </c>
      <c r="O135">
        <v>71.61</v>
      </c>
      <c r="P135">
        <v>3.5</v>
      </c>
      <c r="Q135">
        <v>30</v>
      </c>
      <c r="R135">
        <v>4</v>
      </c>
      <c r="S135">
        <v>15595</v>
      </c>
      <c r="T135">
        <v>16275</v>
      </c>
      <c r="U135">
        <f t="shared" si="7"/>
        <v>680</v>
      </c>
      <c r="V135">
        <v>1</v>
      </c>
    </row>
    <row r="136" spans="1:24" x14ac:dyDescent="0.25">
      <c r="A136">
        <v>135</v>
      </c>
      <c r="B136" t="s">
        <v>56</v>
      </c>
      <c r="C136" s="1">
        <v>46049</v>
      </c>
      <c r="D136" s="2">
        <v>0.47430555555555554</v>
      </c>
      <c r="E136">
        <v>10.645</v>
      </c>
      <c r="F136">
        <v>77.900000000000006</v>
      </c>
      <c r="G136">
        <v>8.66</v>
      </c>
      <c r="H136">
        <v>203</v>
      </c>
      <c r="I136">
        <v>132.268</v>
      </c>
      <c r="J136">
        <v>0.1</v>
      </c>
      <c r="K136">
        <v>7.65</v>
      </c>
      <c r="L136">
        <v>12.03</v>
      </c>
      <c r="M136">
        <v>0.39</v>
      </c>
      <c r="N136">
        <v>4.46</v>
      </c>
      <c r="O136">
        <v>35.06</v>
      </c>
      <c r="P136">
        <v>5</v>
      </c>
      <c r="Q136">
        <v>30</v>
      </c>
      <c r="R136">
        <v>4</v>
      </c>
      <c r="S136">
        <v>16279</v>
      </c>
      <c r="T136">
        <v>16929</v>
      </c>
      <c r="U136">
        <f t="shared" si="7"/>
        <v>650</v>
      </c>
      <c r="V136">
        <v>1</v>
      </c>
    </row>
    <row r="137" spans="1:24" x14ac:dyDescent="0.25">
      <c r="A137">
        <v>136</v>
      </c>
      <c r="B137" t="s">
        <v>31</v>
      </c>
      <c r="C137" s="1">
        <v>46049</v>
      </c>
      <c r="D137" s="2">
        <v>0.5083333333333333</v>
      </c>
      <c r="E137">
        <v>10.531000000000001</v>
      </c>
      <c r="F137">
        <v>79</v>
      </c>
      <c r="G137">
        <v>8.7899999999999991</v>
      </c>
      <c r="H137">
        <v>547</v>
      </c>
      <c r="I137">
        <v>355.83100000000002</v>
      </c>
      <c r="J137">
        <v>0.27</v>
      </c>
      <c r="K137">
        <v>7.89</v>
      </c>
      <c r="L137">
        <v>22.32</v>
      </c>
      <c r="M137">
        <v>0.72</v>
      </c>
      <c r="N137">
        <v>13.97</v>
      </c>
      <c r="O137">
        <v>70.540000000000006</v>
      </c>
      <c r="P137">
        <v>4</v>
      </c>
      <c r="Q137">
        <v>30</v>
      </c>
      <c r="R137">
        <v>4</v>
      </c>
      <c r="S137">
        <v>17527</v>
      </c>
      <c r="T137">
        <v>18105</v>
      </c>
      <c r="U137">
        <f t="shared" si="7"/>
        <v>578</v>
      </c>
      <c r="V137">
        <v>1</v>
      </c>
    </row>
    <row r="138" spans="1:24" x14ac:dyDescent="0.25">
      <c r="A138">
        <v>137</v>
      </c>
      <c r="B138" t="s">
        <v>32</v>
      </c>
      <c r="C138" s="1">
        <v>46049</v>
      </c>
      <c r="D138" s="2">
        <v>0.52986111111111112</v>
      </c>
      <c r="E138">
        <v>10.215999999999999</v>
      </c>
      <c r="F138">
        <v>78.400000000000006</v>
      </c>
      <c r="G138">
        <v>8.8000000000000007</v>
      </c>
      <c r="H138">
        <v>529</v>
      </c>
      <c r="I138">
        <v>344.15</v>
      </c>
      <c r="J138">
        <v>0.26</v>
      </c>
      <c r="K138">
        <v>7.89</v>
      </c>
      <c r="L138">
        <v>21.45</v>
      </c>
      <c r="M138">
        <v>0.73</v>
      </c>
      <c r="N138">
        <v>15.08</v>
      </c>
      <c r="O138">
        <v>71.5</v>
      </c>
      <c r="P138">
        <v>4.5</v>
      </c>
      <c r="Q138">
        <v>30</v>
      </c>
      <c r="R138">
        <v>4</v>
      </c>
      <c r="S138">
        <v>18105</v>
      </c>
      <c r="T138">
        <v>18830</v>
      </c>
      <c r="U138">
        <f t="shared" si="7"/>
        <v>725</v>
      </c>
      <c r="V138">
        <v>1</v>
      </c>
    </row>
    <row r="139" spans="1:24" x14ac:dyDescent="0.25">
      <c r="A139">
        <v>138</v>
      </c>
      <c r="B139" t="s">
        <v>33</v>
      </c>
      <c r="C139" s="1">
        <v>46049</v>
      </c>
      <c r="D139" s="2">
        <v>0.55833333333333335</v>
      </c>
      <c r="E139">
        <v>10.455</v>
      </c>
      <c r="F139">
        <v>78.7</v>
      </c>
      <c r="G139">
        <v>8.77</v>
      </c>
      <c r="H139">
        <v>519</v>
      </c>
      <c r="I139">
        <v>337.15699999999998</v>
      </c>
      <c r="J139">
        <v>0.25</v>
      </c>
      <c r="K139">
        <v>7.85</v>
      </c>
      <c r="L139">
        <v>21.25</v>
      </c>
      <c r="M139">
        <v>0.7</v>
      </c>
      <c r="N139">
        <v>13.62</v>
      </c>
      <c r="O139">
        <v>73.94</v>
      </c>
      <c r="P139">
        <v>4.5</v>
      </c>
      <c r="Q139">
        <v>30</v>
      </c>
      <c r="R139">
        <v>4</v>
      </c>
      <c r="S139">
        <v>18888</v>
      </c>
      <c r="T139">
        <v>19502</v>
      </c>
      <c r="U139">
        <f t="shared" si="7"/>
        <v>614</v>
      </c>
      <c r="V139">
        <v>1</v>
      </c>
    </row>
    <row r="140" spans="1:24" x14ac:dyDescent="0.25">
      <c r="A140">
        <v>139</v>
      </c>
      <c r="B140" t="s">
        <v>41</v>
      </c>
      <c r="C140" s="1">
        <v>46049</v>
      </c>
      <c r="D140" s="2">
        <v>0.39444444444444443</v>
      </c>
      <c r="E140">
        <v>7.9669999999999996</v>
      </c>
      <c r="F140">
        <v>65.3</v>
      </c>
      <c r="G140">
        <v>7.73</v>
      </c>
      <c r="H140">
        <v>501</v>
      </c>
      <c r="I140">
        <v>325.86</v>
      </c>
      <c r="J140">
        <v>0.24</v>
      </c>
      <c r="K140">
        <v>7.63</v>
      </c>
      <c r="L140">
        <v>19.600000000000001</v>
      </c>
      <c r="M140">
        <v>0.19</v>
      </c>
      <c r="N140">
        <v>2.09</v>
      </c>
      <c r="O140">
        <v>77.02</v>
      </c>
      <c r="P140">
        <v>5</v>
      </c>
      <c r="Q140">
        <v>15</v>
      </c>
      <c r="R140">
        <v>4</v>
      </c>
      <c r="S140" t="s">
        <v>24</v>
      </c>
      <c r="T140" t="s">
        <v>24</v>
      </c>
      <c r="U140" t="s">
        <v>24</v>
      </c>
      <c r="V140">
        <v>1</v>
      </c>
    </row>
    <row r="141" spans="1:24" x14ac:dyDescent="0.25">
      <c r="A141">
        <v>140</v>
      </c>
      <c r="B141" t="s">
        <v>42</v>
      </c>
      <c r="C141" s="1">
        <v>46049</v>
      </c>
      <c r="D141" s="2">
        <v>0.41249999999999998</v>
      </c>
      <c r="E141">
        <v>9.9480000000000004</v>
      </c>
      <c r="F141">
        <v>62.1</v>
      </c>
      <c r="G141">
        <v>7</v>
      </c>
      <c r="H141">
        <v>586</v>
      </c>
      <c r="I141">
        <v>380.60300000000001</v>
      </c>
      <c r="J141">
        <v>0.28999999999999998</v>
      </c>
      <c r="K141">
        <v>7.68</v>
      </c>
      <c r="L141">
        <v>20.83</v>
      </c>
      <c r="M141">
        <v>0.44</v>
      </c>
      <c r="N141">
        <v>7.1</v>
      </c>
      <c r="O141">
        <v>78.3</v>
      </c>
      <c r="P141" t="s">
        <v>24</v>
      </c>
      <c r="Q141" t="s">
        <v>24</v>
      </c>
      <c r="R141" t="s">
        <v>24</v>
      </c>
      <c r="S141" t="s">
        <v>24</v>
      </c>
      <c r="T141" t="s">
        <v>24</v>
      </c>
      <c r="U141" t="s">
        <v>24</v>
      </c>
      <c r="V141" t="s">
        <v>24</v>
      </c>
    </row>
    <row r="142" spans="1:24" x14ac:dyDescent="0.25">
      <c r="A142">
        <v>141</v>
      </c>
      <c r="B142" t="s">
        <v>61</v>
      </c>
      <c r="C142" s="1">
        <v>46049</v>
      </c>
      <c r="D142" s="2">
        <v>0.44027777777777777</v>
      </c>
      <c r="E142">
        <v>9.0920000000000005</v>
      </c>
      <c r="F142">
        <v>96.4</v>
      </c>
      <c r="G142">
        <v>11.11</v>
      </c>
      <c r="H142">
        <v>304.89999999999998</v>
      </c>
      <c r="I142">
        <v>198.154</v>
      </c>
      <c r="J142">
        <v>0.15</v>
      </c>
      <c r="K142">
        <v>7.82</v>
      </c>
      <c r="L142">
        <v>57.66</v>
      </c>
      <c r="M142">
        <v>0.6</v>
      </c>
      <c r="N142">
        <v>15.26</v>
      </c>
      <c r="O142">
        <v>41.66</v>
      </c>
      <c r="P142">
        <v>4</v>
      </c>
      <c r="Q142">
        <v>15</v>
      </c>
      <c r="R142">
        <v>4</v>
      </c>
      <c r="S142" t="s">
        <v>24</v>
      </c>
      <c r="T142" t="s">
        <v>24</v>
      </c>
      <c r="U142" t="s">
        <v>24</v>
      </c>
      <c r="V142">
        <v>1</v>
      </c>
    </row>
    <row r="143" spans="1:24" x14ac:dyDescent="0.25">
      <c r="A143">
        <v>142</v>
      </c>
      <c r="B143" t="s">
        <v>34</v>
      </c>
      <c r="C143" s="1">
        <v>46049</v>
      </c>
      <c r="D143" s="2">
        <v>0.51875000000000004</v>
      </c>
      <c r="E143">
        <v>11.422000000000001</v>
      </c>
      <c r="F143">
        <v>67.400000000000006</v>
      </c>
      <c r="G143">
        <v>7.35</v>
      </c>
      <c r="H143">
        <v>417.2</v>
      </c>
      <c r="I143">
        <v>271.19799999999998</v>
      </c>
      <c r="J143">
        <v>0.2</v>
      </c>
      <c r="K143">
        <v>7.42</v>
      </c>
      <c r="L143">
        <v>4.58</v>
      </c>
      <c r="M143">
        <v>0.25</v>
      </c>
      <c r="N143">
        <v>4.1500000000000004</v>
      </c>
      <c r="O143">
        <v>88.42</v>
      </c>
      <c r="P143">
        <v>5</v>
      </c>
      <c r="Q143">
        <v>30</v>
      </c>
      <c r="R143">
        <v>4</v>
      </c>
      <c r="S143">
        <v>8835</v>
      </c>
      <c r="T143">
        <v>9472</v>
      </c>
      <c r="U143">
        <f t="shared" si="7"/>
        <v>637</v>
      </c>
      <c r="V143">
        <v>1</v>
      </c>
    </row>
    <row r="144" spans="1:24" x14ac:dyDescent="0.25">
      <c r="A144">
        <v>143</v>
      </c>
      <c r="B144" t="s">
        <v>36</v>
      </c>
      <c r="C144" s="1">
        <v>46049</v>
      </c>
      <c r="D144" s="2">
        <v>0.56666666666666665</v>
      </c>
      <c r="E144">
        <v>14.577999999999999</v>
      </c>
      <c r="F144">
        <v>54.8</v>
      </c>
      <c r="G144">
        <v>5.58</v>
      </c>
      <c r="H144">
        <v>359.4</v>
      </c>
      <c r="I144">
        <v>233.63200000000001</v>
      </c>
      <c r="J144">
        <v>0.17</v>
      </c>
      <c r="K144">
        <v>7.25</v>
      </c>
      <c r="L144">
        <v>20.260000000000002</v>
      </c>
      <c r="M144">
        <v>0.11</v>
      </c>
      <c r="N144">
        <v>2.0499999999999998</v>
      </c>
      <c r="O144">
        <v>58.41</v>
      </c>
      <c r="P144">
        <v>5</v>
      </c>
      <c r="Q144">
        <v>15</v>
      </c>
      <c r="R144">
        <v>4</v>
      </c>
      <c r="S144" t="s">
        <v>24</v>
      </c>
      <c r="T144" t="s">
        <v>24</v>
      </c>
      <c r="U144" t="s">
        <v>24</v>
      </c>
      <c r="V144">
        <v>1</v>
      </c>
    </row>
    <row r="145" spans="1:25" x14ac:dyDescent="0.25">
      <c r="A145">
        <v>144</v>
      </c>
      <c r="B145" t="s">
        <v>45</v>
      </c>
      <c r="C145" s="1">
        <v>46056</v>
      </c>
      <c r="D145" s="2">
        <v>0.34513888888888888</v>
      </c>
      <c r="E145">
        <v>11.208</v>
      </c>
      <c r="F145">
        <v>90.5</v>
      </c>
      <c r="G145">
        <v>9.9</v>
      </c>
      <c r="H145">
        <v>873</v>
      </c>
      <c r="I145">
        <v>567.64200000000005</v>
      </c>
      <c r="J145">
        <v>0.43</v>
      </c>
      <c r="K145">
        <v>8.27</v>
      </c>
      <c r="L145">
        <v>16.25</v>
      </c>
      <c r="M145">
        <v>0.38</v>
      </c>
      <c r="N145">
        <v>14.2</v>
      </c>
      <c r="O145">
        <v>24.33</v>
      </c>
      <c r="P145">
        <v>3.5</v>
      </c>
      <c r="Q145">
        <v>30</v>
      </c>
      <c r="R145">
        <v>4</v>
      </c>
      <c r="S145">
        <v>175305</v>
      </c>
      <c r="T145">
        <v>175968</v>
      </c>
      <c r="U145">
        <f t="shared" si="7"/>
        <v>663</v>
      </c>
      <c r="V145">
        <v>1</v>
      </c>
    </row>
    <row r="146" spans="1:25" x14ac:dyDescent="0.25">
      <c r="A146">
        <v>145</v>
      </c>
      <c r="B146" t="s">
        <v>27</v>
      </c>
      <c r="C146" s="1">
        <v>46056</v>
      </c>
      <c r="D146" s="2">
        <v>0.37430555555555556</v>
      </c>
      <c r="E146">
        <v>10.978999999999999</v>
      </c>
      <c r="F146">
        <v>98.1</v>
      </c>
      <c r="G146">
        <v>10.82</v>
      </c>
      <c r="H146">
        <v>170.3</v>
      </c>
      <c r="I146">
        <v>110.70699999999999</v>
      </c>
      <c r="J146">
        <v>0.08</v>
      </c>
      <c r="K146">
        <v>7.83</v>
      </c>
      <c r="L146">
        <v>11.62</v>
      </c>
      <c r="M146">
        <v>0.2</v>
      </c>
      <c r="N146">
        <v>2.13</v>
      </c>
      <c r="O146">
        <v>13.9</v>
      </c>
      <c r="P146">
        <v>2</v>
      </c>
      <c r="Q146">
        <v>30</v>
      </c>
      <c r="R146">
        <v>4</v>
      </c>
      <c r="S146">
        <v>175968</v>
      </c>
      <c r="T146">
        <v>176612</v>
      </c>
      <c r="U146">
        <f t="shared" si="7"/>
        <v>644</v>
      </c>
      <c r="V146">
        <v>1</v>
      </c>
    </row>
    <row r="147" spans="1:25" x14ac:dyDescent="0.25">
      <c r="A147">
        <v>146</v>
      </c>
      <c r="B147" t="s">
        <v>29</v>
      </c>
      <c r="C147" s="1">
        <v>46056</v>
      </c>
      <c r="D147" s="2">
        <v>0.39513888888888887</v>
      </c>
      <c r="E147">
        <v>10.8</v>
      </c>
      <c r="F147">
        <v>94.7</v>
      </c>
      <c r="G147">
        <v>10.49</v>
      </c>
      <c r="H147">
        <v>170</v>
      </c>
      <c r="I147">
        <v>110.511</v>
      </c>
      <c r="J147">
        <v>0.08</v>
      </c>
      <c r="K147">
        <v>7.7</v>
      </c>
      <c r="L147">
        <v>11.47</v>
      </c>
      <c r="M147">
        <v>0.11</v>
      </c>
      <c r="N147">
        <v>2.04</v>
      </c>
      <c r="O147">
        <v>14.12</v>
      </c>
      <c r="P147">
        <v>1.5</v>
      </c>
      <c r="Q147">
        <v>30</v>
      </c>
      <c r="R147">
        <v>4</v>
      </c>
      <c r="S147">
        <v>176612</v>
      </c>
      <c r="T147">
        <v>177218</v>
      </c>
      <c r="U147">
        <f t="shared" si="7"/>
        <v>606</v>
      </c>
      <c r="V147">
        <v>1</v>
      </c>
    </row>
    <row r="148" spans="1:25" x14ac:dyDescent="0.25">
      <c r="A148">
        <v>147</v>
      </c>
      <c r="B148" t="s">
        <v>30</v>
      </c>
      <c r="C148" s="1">
        <v>46056</v>
      </c>
      <c r="D148" s="2">
        <v>0.41944444444444445</v>
      </c>
      <c r="E148">
        <v>11.53</v>
      </c>
      <c r="F148">
        <v>77.7</v>
      </c>
      <c r="G148">
        <v>8.4499999999999993</v>
      </c>
      <c r="H148">
        <v>565</v>
      </c>
      <c r="I148">
        <v>367.40300000000002</v>
      </c>
      <c r="J148">
        <v>0.28000000000000003</v>
      </c>
      <c r="K148">
        <v>7.82</v>
      </c>
      <c r="L148">
        <v>23.18</v>
      </c>
      <c r="M148">
        <v>0.3</v>
      </c>
      <c r="N148">
        <v>5.79</v>
      </c>
      <c r="O148">
        <v>61.2</v>
      </c>
      <c r="P148">
        <v>3</v>
      </c>
      <c r="Q148">
        <v>30</v>
      </c>
      <c r="R148">
        <v>4</v>
      </c>
      <c r="S148">
        <v>177218</v>
      </c>
      <c r="T148">
        <v>177785</v>
      </c>
      <c r="U148">
        <f t="shared" si="7"/>
        <v>567</v>
      </c>
      <c r="V148">
        <v>1</v>
      </c>
    </row>
    <row r="149" spans="1:25" x14ac:dyDescent="0.25">
      <c r="A149">
        <v>148</v>
      </c>
      <c r="B149" t="s">
        <v>44</v>
      </c>
      <c r="C149" s="1">
        <v>46056</v>
      </c>
      <c r="D149" s="2">
        <v>0.44513888888888886</v>
      </c>
      <c r="E149">
        <v>12.92</v>
      </c>
      <c r="F149">
        <v>114.7</v>
      </c>
      <c r="G149">
        <v>12.09</v>
      </c>
      <c r="H149">
        <v>620</v>
      </c>
      <c r="I149">
        <v>402.85700000000003</v>
      </c>
      <c r="J149">
        <v>0.3</v>
      </c>
      <c r="K149">
        <v>8.67</v>
      </c>
      <c r="L149">
        <v>10.67</v>
      </c>
      <c r="M149">
        <v>0.35</v>
      </c>
      <c r="N149">
        <v>9.11</v>
      </c>
      <c r="O149">
        <v>62.49</v>
      </c>
      <c r="P149">
        <v>5</v>
      </c>
      <c r="Q149">
        <v>30</v>
      </c>
      <c r="R149">
        <v>4</v>
      </c>
      <c r="S149">
        <v>177785</v>
      </c>
      <c r="T149">
        <v>178424</v>
      </c>
      <c r="U149">
        <f t="shared" si="7"/>
        <v>639</v>
      </c>
      <c r="V149">
        <v>1</v>
      </c>
    </row>
    <row r="150" spans="1:25" x14ac:dyDescent="0.25">
      <c r="A150">
        <v>149</v>
      </c>
      <c r="B150" t="s">
        <v>56</v>
      </c>
      <c r="C150" s="1">
        <v>46056</v>
      </c>
      <c r="D150" s="2">
        <v>0.46736111111111112</v>
      </c>
      <c r="E150">
        <v>13.569000000000001</v>
      </c>
      <c r="F150">
        <v>90</v>
      </c>
      <c r="G150">
        <v>9.35</v>
      </c>
      <c r="H150">
        <v>504</v>
      </c>
      <c r="I150">
        <v>327.57299999999998</v>
      </c>
      <c r="J150">
        <v>0.24</v>
      </c>
      <c r="K150">
        <v>8.1</v>
      </c>
      <c r="L150">
        <v>78.16</v>
      </c>
      <c r="M150">
        <v>1.29</v>
      </c>
      <c r="N150">
        <v>25.99</v>
      </c>
      <c r="O150">
        <v>30.71</v>
      </c>
      <c r="P150">
        <v>5</v>
      </c>
      <c r="Q150">
        <v>30</v>
      </c>
      <c r="R150">
        <v>4</v>
      </c>
      <c r="S150">
        <v>178424</v>
      </c>
      <c r="T150">
        <v>179033</v>
      </c>
      <c r="U150">
        <f t="shared" si="7"/>
        <v>609</v>
      </c>
      <c r="V150">
        <v>1</v>
      </c>
    </row>
    <row r="151" spans="1:25" x14ac:dyDescent="0.25">
      <c r="A151">
        <v>150</v>
      </c>
      <c r="B151" t="s">
        <v>31</v>
      </c>
      <c r="C151" s="1">
        <v>46056</v>
      </c>
      <c r="D151" s="2">
        <v>0.5083333333333333</v>
      </c>
      <c r="E151">
        <v>12.526</v>
      </c>
      <c r="F151">
        <v>77</v>
      </c>
      <c r="G151">
        <v>8.18</v>
      </c>
      <c r="H151">
        <v>567</v>
      </c>
      <c r="I151">
        <v>368.50900000000001</v>
      </c>
      <c r="J151">
        <v>0.28000000000000003</v>
      </c>
      <c r="K151">
        <v>7.84</v>
      </c>
      <c r="L151">
        <v>22.64</v>
      </c>
      <c r="M151">
        <v>0.3</v>
      </c>
      <c r="N151">
        <v>7.58</v>
      </c>
      <c r="O151">
        <v>58.77</v>
      </c>
      <c r="P151">
        <v>3.5</v>
      </c>
      <c r="Q151">
        <v>30</v>
      </c>
      <c r="R151">
        <v>4</v>
      </c>
      <c r="S151">
        <v>179033</v>
      </c>
      <c r="T151">
        <v>179659</v>
      </c>
      <c r="U151">
        <f t="shared" si="7"/>
        <v>626</v>
      </c>
      <c r="V151">
        <v>1</v>
      </c>
    </row>
    <row r="152" spans="1:25" x14ac:dyDescent="0.25">
      <c r="A152">
        <v>151</v>
      </c>
      <c r="B152" t="s">
        <v>32</v>
      </c>
      <c r="C152" s="1">
        <v>46056</v>
      </c>
      <c r="D152" s="2">
        <v>0.52430555555555558</v>
      </c>
      <c r="E152">
        <v>12.545999999999999</v>
      </c>
      <c r="F152">
        <v>81.099999999999994</v>
      </c>
      <c r="G152">
        <v>8.6199999999999992</v>
      </c>
      <c r="H152">
        <v>578</v>
      </c>
      <c r="I152">
        <v>375.541</v>
      </c>
      <c r="J152">
        <v>0.28000000000000003</v>
      </c>
      <c r="K152">
        <v>7.82</v>
      </c>
      <c r="L152">
        <v>22.1</v>
      </c>
      <c r="M152">
        <v>0.35</v>
      </c>
      <c r="N152">
        <v>9.1</v>
      </c>
      <c r="O152">
        <v>60.21</v>
      </c>
      <c r="P152">
        <v>3.5</v>
      </c>
      <c r="Q152">
        <v>30</v>
      </c>
      <c r="R152">
        <v>4</v>
      </c>
      <c r="S152">
        <v>179659</v>
      </c>
      <c r="T152">
        <v>180265</v>
      </c>
      <c r="U152">
        <f t="shared" si="7"/>
        <v>606</v>
      </c>
      <c r="V152">
        <v>1</v>
      </c>
    </row>
    <row r="153" spans="1:25" x14ac:dyDescent="0.25">
      <c r="A153">
        <v>152</v>
      </c>
      <c r="B153" t="s">
        <v>33</v>
      </c>
      <c r="C153" s="1">
        <v>46056</v>
      </c>
      <c r="D153" s="2">
        <v>0.5493055555555556</v>
      </c>
      <c r="E153">
        <v>12.407999999999999</v>
      </c>
      <c r="F153">
        <v>77</v>
      </c>
      <c r="G153">
        <v>8.2100000000000009</v>
      </c>
      <c r="H153">
        <v>575</v>
      </c>
      <c r="I153">
        <v>373.70499999999998</v>
      </c>
      <c r="J153">
        <v>0.28000000000000003</v>
      </c>
      <c r="K153">
        <v>7.8</v>
      </c>
      <c r="L153">
        <v>18.16</v>
      </c>
      <c r="M153">
        <v>0.4</v>
      </c>
      <c r="N153">
        <v>8.65</v>
      </c>
      <c r="O153">
        <v>58.95</v>
      </c>
      <c r="P153">
        <v>4</v>
      </c>
      <c r="Q153">
        <v>30</v>
      </c>
      <c r="R153">
        <v>4</v>
      </c>
      <c r="S153">
        <v>180265</v>
      </c>
      <c r="T153">
        <v>180858</v>
      </c>
      <c r="U153">
        <f t="shared" si="7"/>
        <v>593</v>
      </c>
      <c r="V153">
        <v>1</v>
      </c>
    </row>
    <row r="154" spans="1:25" x14ac:dyDescent="0.25">
      <c r="A154">
        <v>153</v>
      </c>
      <c r="B154" t="s">
        <v>41</v>
      </c>
      <c r="C154" s="1">
        <v>46056</v>
      </c>
      <c r="D154" s="2">
        <v>0.36527777777777776</v>
      </c>
      <c r="E154">
        <v>11.74</v>
      </c>
      <c r="F154">
        <v>44</v>
      </c>
      <c r="G154">
        <v>4.76</v>
      </c>
      <c r="H154">
        <v>537</v>
      </c>
      <c r="I154">
        <v>348.80399999999997</v>
      </c>
      <c r="J154">
        <v>0.26</v>
      </c>
      <c r="K154">
        <v>7.47</v>
      </c>
      <c r="L154">
        <v>5.03</v>
      </c>
      <c r="M154">
        <v>0.2</v>
      </c>
      <c r="N154">
        <v>1.73</v>
      </c>
      <c r="O154">
        <v>82.7</v>
      </c>
      <c r="P154" t="s">
        <v>24</v>
      </c>
      <c r="Q154" t="s">
        <v>24</v>
      </c>
      <c r="R154" t="s">
        <v>24</v>
      </c>
      <c r="S154" t="s">
        <v>24</v>
      </c>
      <c r="T154" t="s">
        <v>24</v>
      </c>
      <c r="U154" t="s">
        <v>24</v>
      </c>
      <c r="V154">
        <v>1</v>
      </c>
      <c r="Y154" t="s">
        <v>66</v>
      </c>
    </row>
    <row r="155" spans="1:25" x14ac:dyDescent="0.25">
      <c r="A155">
        <v>154</v>
      </c>
      <c r="B155" t="s">
        <v>41</v>
      </c>
      <c r="C155" s="1">
        <v>46056</v>
      </c>
      <c r="D155" s="2">
        <v>0.43194444444444446</v>
      </c>
      <c r="E155">
        <v>12.023</v>
      </c>
      <c r="F155">
        <v>46.1</v>
      </c>
      <c r="G155">
        <v>4.96</v>
      </c>
      <c r="H155">
        <v>539</v>
      </c>
      <c r="I155">
        <v>350.10599999999999</v>
      </c>
      <c r="J155">
        <v>0.26</v>
      </c>
      <c r="K155">
        <v>7.5</v>
      </c>
      <c r="L155">
        <v>7.44</v>
      </c>
      <c r="M155">
        <v>0.16</v>
      </c>
      <c r="N155">
        <v>1.84</v>
      </c>
      <c r="O155">
        <v>81.06</v>
      </c>
      <c r="P155">
        <v>4.5</v>
      </c>
      <c r="Q155">
        <v>30</v>
      </c>
      <c r="R155">
        <v>4</v>
      </c>
      <c r="S155">
        <v>9955</v>
      </c>
      <c r="T155">
        <v>10535</v>
      </c>
      <c r="U155">
        <f t="shared" ref="U154:U158" si="8">T155-S155</f>
        <v>580</v>
      </c>
      <c r="V155">
        <v>1</v>
      </c>
    </row>
    <row r="156" spans="1:25" x14ac:dyDescent="0.25">
      <c r="A156">
        <v>155</v>
      </c>
      <c r="B156" t="s">
        <v>42</v>
      </c>
      <c r="C156" s="1">
        <v>46056</v>
      </c>
      <c r="D156" s="2">
        <v>0.44583333333333336</v>
      </c>
      <c r="E156">
        <v>12.367000000000001</v>
      </c>
      <c r="F156">
        <v>81.7</v>
      </c>
      <c r="G156">
        <v>8.7200000000000006</v>
      </c>
      <c r="H156">
        <v>648</v>
      </c>
      <c r="I156">
        <v>421.36500000000001</v>
      </c>
      <c r="J156">
        <v>0.32</v>
      </c>
      <c r="K156">
        <v>7.93</v>
      </c>
      <c r="L156">
        <v>20.39</v>
      </c>
      <c r="M156">
        <v>0.38</v>
      </c>
      <c r="N156">
        <v>5.0999999999999996</v>
      </c>
      <c r="O156">
        <v>81.96</v>
      </c>
      <c r="P156" t="s">
        <v>24</v>
      </c>
      <c r="Q156" t="s">
        <v>24</v>
      </c>
      <c r="R156" t="s">
        <v>24</v>
      </c>
      <c r="S156" t="s">
        <v>24</v>
      </c>
      <c r="T156" t="s">
        <v>24</v>
      </c>
      <c r="U156" t="s">
        <v>24</v>
      </c>
      <c r="V156" t="s">
        <v>24</v>
      </c>
    </row>
    <row r="157" spans="1:25" x14ac:dyDescent="0.25">
      <c r="A157">
        <v>156</v>
      </c>
      <c r="B157" t="s">
        <v>61</v>
      </c>
      <c r="C157" s="1">
        <v>46056</v>
      </c>
      <c r="D157" s="2">
        <v>0.48888888888888887</v>
      </c>
      <c r="E157">
        <v>12.903</v>
      </c>
      <c r="F157">
        <v>98.1</v>
      </c>
      <c r="G157">
        <v>10.35</v>
      </c>
      <c r="H157">
        <v>374.2</v>
      </c>
      <c r="I157">
        <v>243.21199999999999</v>
      </c>
      <c r="J157">
        <v>0.18</v>
      </c>
      <c r="K157">
        <v>7.73</v>
      </c>
      <c r="L157">
        <v>78.28</v>
      </c>
      <c r="M157">
        <v>0.99</v>
      </c>
      <c r="N157">
        <v>17.239999999999998</v>
      </c>
      <c r="O157">
        <v>45.8</v>
      </c>
      <c r="P157">
        <v>4.5</v>
      </c>
      <c r="Q157">
        <v>15</v>
      </c>
      <c r="R157">
        <v>4</v>
      </c>
      <c r="S157" t="s">
        <v>24</v>
      </c>
      <c r="T157" t="s">
        <v>24</v>
      </c>
      <c r="U157" t="s">
        <v>24</v>
      </c>
      <c r="V157">
        <v>1</v>
      </c>
    </row>
    <row r="158" spans="1:25" x14ac:dyDescent="0.25">
      <c r="A158">
        <v>157</v>
      </c>
      <c r="B158" t="s">
        <v>34</v>
      </c>
      <c r="C158" s="1">
        <v>46056</v>
      </c>
      <c r="D158" s="2">
        <v>0.5625</v>
      </c>
      <c r="E158">
        <v>14.545</v>
      </c>
      <c r="F158">
        <v>76.599999999999994</v>
      </c>
      <c r="G158">
        <v>7.79</v>
      </c>
      <c r="H158">
        <v>549</v>
      </c>
      <c r="I158">
        <v>357.14499999999998</v>
      </c>
      <c r="J158">
        <v>0.27</v>
      </c>
      <c r="K158">
        <v>7.43</v>
      </c>
      <c r="L158">
        <v>5.17</v>
      </c>
      <c r="M158">
        <v>0.22</v>
      </c>
      <c r="N158">
        <v>2.9</v>
      </c>
      <c r="O158">
        <v>89.15</v>
      </c>
      <c r="P158">
        <v>5</v>
      </c>
      <c r="Q158">
        <v>15</v>
      </c>
      <c r="R158">
        <v>4</v>
      </c>
      <c r="S158" t="s">
        <v>24</v>
      </c>
      <c r="T158" t="s">
        <v>24</v>
      </c>
      <c r="U158" t="s">
        <v>24</v>
      </c>
      <c r="V158">
        <v>1</v>
      </c>
    </row>
  </sheetData>
  <phoneticPr fontId="1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Nguyen, Kristina@DWR</dc:creator>
  <cp:keywords/>
  <dc:description/>
  <cp:lastModifiedBy>Nguyen, Kristina@DWR</cp:lastModifiedBy>
  <cp:revision/>
  <dcterms:created xsi:type="dcterms:W3CDTF">2015-06-05T18:17:20Z</dcterms:created>
  <dcterms:modified xsi:type="dcterms:W3CDTF">2026-02-04T16:14:36Z</dcterms:modified>
  <cp:category/>
  <cp:contentStatus/>
</cp:coreProperties>
</file>